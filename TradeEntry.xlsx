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7685eac7c03343/Pulpit/Data/Aplikacja/"/>
    </mc:Choice>
  </mc:AlternateContent>
  <xr:revisionPtr revIDLastSave="70" documentId="8_{654CE76F-5C9E-4022-82BD-412525EB51E4}" xr6:coauthVersionLast="47" xr6:coauthVersionMax="47" xr10:uidLastSave="{82DE2E74-2F30-4F36-B139-4BBAEC073008}"/>
  <bookViews>
    <workbookView minimized="1" xWindow="5230" yWindow="10810" windowWidth="19180" windowHeight="10060" activeTab="1" xr2:uid="{02EC47E9-3640-4209-BBC1-BD5565845EFB}"/>
  </bookViews>
  <sheets>
    <sheet name="Arkusz3" sheetId="1" r:id="rId1"/>
    <sheet name="Arkusz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" i="2" l="1"/>
  <c r="R10" i="2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M4" i="1" s="1"/>
</calcChain>
</file>

<file path=xl/sharedStrings.xml><?xml version="1.0" encoding="utf-8"?>
<sst xmlns="http://schemas.openxmlformats.org/spreadsheetml/2006/main" count="111" uniqueCount="45">
  <si>
    <t>New Trade</t>
  </si>
  <si>
    <t>Open Trades</t>
  </si>
  <si>
    <t>Fixing Date:</t>
  </si>
  <si>
    <t>Hour</t>
  </si>
  <si>
    <t>Volume</t>
  </si>
  <si>
    <t>Direction</t>
  </si>
  <si>
    <t>Fix1</t>
  </si>
  <si>
    <t>SDAC</t>
  </si>
  <si>
    <t>Delta</t>
  </si>
  <si>
    <t>Margin</t>
  </si>
  <si>
    <t>H01</t>
  </si>
  <si>
    <t>L</t>
  </si>
  <si>
    <t>H02</t>
  </si>
  <si>
    <t>H03</t>
  </si>
  <si>
    <t>H04</t>
  </si>
  <si>
    <t>H05</t>
  </si>
  <si>
    <t>S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</si>
  <si>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</si>
  <si>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</si>
  <si>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</si>
  <si>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</si>
  <si>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</si>
  <si>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</si>
  <si>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</si>
  <si>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</si>
  <si>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</si>
  <si>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</si>
  <si>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</si>
  <si>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</si>
  <si>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</si>
  <si>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</si>
  <si>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</si>
  <si>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</si>
  <si>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</si>
  <si>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</si>
  <si>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</si>
  <si>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Enter Blok Trades</t>
  </si>
  <si>
    <t>MW</t>
  </si>
  <si>
    <t xml:space="preserve">Product </t>
  </si>
  <si>
    <t>Price</t>
  </si>
  <si>
    <t>base</t>
  </si>
  <si>
    <t>zwrot</t>
  </si>
  <si>
    <t>stary</t>
  </si>
  <si>
    <t>nowy</t>
  </si>
  <si>
    <t>PIt37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</si>
</sst>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14" fontId="1" fillId="0" borderId="0" xfId="0" applyNumberFormat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2" borderId="5" xfId="0" applyFill="1" applyBorder="1" applyAlignment="1">
      <alignment horizontal="center"/>
    </xf>
    <xf numFmtId="2" fontId="0" fillId="0" borderId="4" xfId="1" applyNumberFormat="1" applyFont="1" applyBorder="1" applyAlignment="1">
      <alignment horizontal="center"/>
    </xf>
    <xf numFmtId="2" fontId="0" fillId="0" borderId="0" xfId="1" applyNumberFormat="1" applyFont="1" applyBorder="1" applyAlignment="1">
      <alignment horizontal="center"/>
    </xf>
    <xf numFmtId="2" fontId="0" fillId="0" borderId="5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2" fontId="0" fillId="0" borderId="6" xfId="1" applyNumberFormat="1" applyFont="1" applyBorder="1" applyAlignment="1">
      <alignment horizontal="center"/>
    </xf>
    <xf numFmtId="2" fontId="0" fillId="0" borderId="7" xfId="1" applyNumberFormat="1" applyFont="1" applyBorder="1" applyAlignment="1">
      <alignment horizontal="center"/>
    </xf>
    <xf numFmtId="2" fontId="0" fillId="0" borderId="7" xfId="1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10</xdr:row>
      <xdr:rowOff>152400</xdr:rowOff>
    </xdr:from>
    <xdr:to>
      <xdr:col>4</xdr:col>
      <xdr:colOff>542925</xdr:colOff>
      <xdr:row>15</xdr:row>
      <xdr:rowOff>9525</xdr:rowOff>
    </xdr:to>
    <xdr:sp macro="" textlink="">
      <xdr:nvSpPr>
        <xdr:cNvPr id="2" name="Strzałka: w prawo 1">
          <a:extLst>
            <a:ext uri="{FF2B5EF4-FFF2-40B4-BE49-F238E27FC236}">
              <a16:creationId xmlns:a16="http://schemas.microsoft.com/office/drawing/2014/main" id="{FA0DA01A-91F4-4E8B-8555-85605E670263}"/>
            </a:ext>
          </a:extLst>
        </xdr:cNvPr>
        <xdr:cNvSpPr/>
      </xdr:nvSpPr>
      <xdr:spPr>
        <a:xfrm>
          <a:off x="2876550" y="2066925"/>
          <a:ext cx="447675" cy="8096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8</xdr:col>
      <xdr:colOff>95250</xdr:colOff>
      <xdr:row>10</xdr:row>
      <xdr:rowOff>152400</xdr:rowOff>
    </xdr:from>
    <xdr:to>
      <xdr:col>8</xdr:col>
      <xdr:colOff>542925</xdr:colOff>
      <xdr:row>15</xdr:row>
      <xdr:rowOff>9525</xdr:rowOff>
    </xdr:to>
    <xdr:sp macro="" textlink="">
      <xdr:nvSpPr>
        <xdr:cNvPr id="3" name="Strzałka: w prawo 2">
          <a:extLst>
            <a:ext uri="{FF2B5EF4-FFF2-40B4-BE49-F238E27FC236}">
              <a16:creationId xmlns:a16="http://schemas.microsoft.com/office/drawing/2014/main" id="{14A942B4-D32E-4EB7-A41C-607946208C22}"/>
            </a:ext>
          </a:extLst>
        </xdr:cNvPr>
        <xdr:cNvSpPr/>
      </xdr:nvSpPr>
      <xdr:spPr>
        <a:xfrm>
          <a:off x="5514975" y="2066925"/>
          <a:ext cx="447675" cy="8096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2</xdr:col>
      <xdr:colOff>161925</xdr:colOff>
      <xdr:row>27</xdr:row>
      <xdr:rowOff>85725</xdr:rowOff>
    </xdr:from>
    <xdr:to>
      <xdr:col>3</xdr:col>
      <xdr:colOff>495300</xdr:colOff>
      <xdr:row>29</xdr:row>
      <xdr:rowOff>104775</xdr:rowOff>
    </xdr:to>
    <xdr:sp macro="" textlink="">
      <xdr:nvSpPr>
        <xdr:cNvPr id="4" name="Schemat blokowy: proces alternatywny 3">
          <a:extLst>
            <a:ext uri="{FF2B5EF4-FFF2-40B4-BE49-F238E27FC236}">
              <a16:creationId xmlns:a16="http://schemas.microsoft.com/office/drawing/2014/main" id="{5F4EFB94-1EDB-4FFF-8B3C-40F7E5DD1B71}"/>
            </a:ext>
          </a:extLst>
        </xdr:cNvPr>
        <xdr:cNvSpPr/>
      </xdr:nvSpPr>
      <xdr:spPr>
        <a:xfrm>
          <a:off x="1857375" y="5248275"/>
          <a:ext cx="809625" cy="40005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Add Trade</a:t>
          </a:r>
        </a:p>
      </xdr:txBody>
    </xdr:sp>
    <xdr:clientData/>
  </xdr:twoCellAnchor>
  <xdr:twoCellAnchor>
    <xdr:from>
      <xdr:col>7</xdr:col>
      <xdr:colOff>381000</xdr:colOff>
      <xdr:row>27</xdr:row>
      <xdr:rowOff>114300</xdr:rowOff>
    </xdr:from>
    <xdr:to>
      <xdr:col>9</xdr:col>
      <xdr:colOff>104775</xdr:colOff>
      <xdr:row>29</xdr:row>
      <xdr:rowOff>133350</xdr:rowOff>
    </xdr:to>
    <xdr:sp macro="" textlink="">
      <xdr:nvSpPr>
        <xdr:cNvPr id="5" name="Schemat blokowy: proces alternatywny 4">
          <a:extLst>
            <a:ext uri="{FF2B5EF4-FFF2-40B4-BE49-F238E27FC236}">
              <a16:creationId xmlns:a16="http://schemas.microsoft.com/office/drawing/2014/main" id="{6B319CFB-EAF8-4EFD-9D0E-3736F5B27728}"/>
            </a:ext>
          </a:extLst>
        </xdr:cNvPr>
        <xdr:cNvSpPr/>
      </xdr:nvSpPr>
      <xdr:spPr>
        <a:xfrm>
          <a:off x="5191125" y="5276850"/>
          <a:ext cx="942975" cy="40005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Price trade</a:t>
          </a:r>
        </a:p>
      </xdr:txBody>
    </xdr:sp>
    <xdr:clientData/>
  </xdr:twoCellAnchor>
  <xdr:twoCellAnchor>
    <xdr:from>
      <xdr:col>4</xdr:col>
      <xdr:colOff>123825</xdr:colOff>
      <xdr:row>27</xdr:row>
      <xdr:rowOff>104775</xdr:rowOff>
    </xdr:from>
    <xdr:to>
      <xdr:col>5</xdr:col>
      <xdr:colOff>323850</xdr:colOff>
      <xdr:row>29</xdr:row>
      <xdr:rowOff>123825</xdr:rowOff>
    </xdr:to>
    <xdr:sp macro="" textlink="">
      <xdr:nvSpPr>
        <xdr:cNvPr id="6" name="Schemat blokowy: proces alternatywny 5">
          <a:extLst>
            <a:ext uri="{FF2B5EF4-FFF2-40B4-BE49-F238E27FC236}">
              <a16:creationId xmlns:a16="http://schemas.microsoft.com/office/drawing/2014/main" id="{A9F95110-D0F4-4933-8142-E6BE71779140}"/>
            </a:ext>
          </a:extLst>
        </xdr:cNvPr>
        <xdr:cNvSpPr/>
      </xdr:nvSpPr>
      <xdr:spPr>
        <a:xfrm>
          <a:off x="2905125" y="5267325"/>
          <a:ext cx="809625" cy="40005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Lock</a:t>
          </a:r>
        </a:p>
      </xdr:txBody>
    </xdr:sp>
    <xdr:clientData/>
  </xdr:twoCellAnchor>
  <xdr:twoCellAnchor>
    <xdr:from>
      <xdr:col>10</xdr:col>
      <xdr:colOff>95250</xdr:colOff>
      <xdr:row>27</xdr:row>
      <xdr:rowOff>104775</xdr:rowOff>
    </xdr:from>
    <xdr:to>
      <xdr:col>11</xdr:col>
      <xdr:colOff>295275</xdr:colOff>
      <xdr:row>29</xdr:row>
      <xdr:rowOff>171450</xdr:rowOff>
    </xdr:to>
    <xdr:sp macro="" textlink="">
      <xdr:nvSpPr>
        <xdr:cNvPr id="7" name="Strzałka: w prawo 6">
          <a:extLst>
            <a:ext uri="{FF2B5EF4-FFF2-40B4-BE49-F238E27FC236}">
              <a16:creationId xmlns:a16="http://schemas.microsoft.com/office/drawing/2014/main" id="{4052EFE8-61F4-458B-AFE4-D0D69E8F3C40}"/>
            </a:ext>
          </a:extLst>
        </xdr:cNvPr>
        <xdr:cNvSpPr/>
      </xdr:nvSpPr>
      <xdr:spPr>
        <a:xfrm rot="5400000">
          <a:off x="6915150" y="5086350"/>
          <a:ext cx="447675" cy="8096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9</xdr:col>
      <xdr:colOff>66676</xdr:colOff>
      <xdr:row>30</xdr:row>
      <xdr:rowOff>128587</xdr:rowOff>
    </xdr:from>
    <xdr:to>
      <xdr:col>13</xdr:col>
      <xdr:colOff>104776</xdr:colOff>
      <xdr:row>36</xdr:row>
      <xdr:rowOff>147637</xdr:rowOff>
    </xdr:to>
    <xdr:sp macro="" textlink="">
      <xdr:nvSpPr>
        <xdr:cNvPr id="8" name="Prostokąt 7">
          <a:extLst>
            <a:ext uri="{FF2B5EF4-FFF2-40B4-BE49-F238E27FC236}">
              <a16:creationId xmlns:a16="http://schemas.microsoft.com/office/drawing/2014/main" id="{3DC35516-47B3-4A84-8B9E-32D6994B2DC1}"/>
            </a:ext>
          </a:extLst>
        </xdr:cNvPr>
        <xdr:cNvSpPr/>
      </xdr:nvSpPr>
      <xdr:spPr>
        <a:xfrm>
          <a:off x="6096001" y="5862637"/>
          <a:ext cx="2476500" cy="11620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>
              <a:solidFill>
                <a:schemeClr val="tx1"/>
              </a:solidFill>
            </a:rPr>
            <a:t>summary (wolume</a:t>
          </a:r>
          <a:r>
            <a:rPr lang="pl-PL" sz="1100" baseline="0">
              <a:solidFill>
                <a:schemeClr val="tx1"/>
              </a:solidFill>
            </a:rPr>
            <a:t> of positions, cost of postions, margin</a:t>
          </a:r>
          <a:r>
            <a:rPr lang="pl-PL" sz="1100">
              <a:solidFill>
                <a:schemeClr val="tx1"/>
              </a:solidFill>
            </a:rPr>
            <a:t>) - you can think of some..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A814-B561-443E-85BB-3B5B6DEF4527}">
  <dimension ref="A1:T27"/>
  <sheetViews>
    <sheetView zoomScale="80" zoomScaleNormal="80" workbookViewId="0">
      <selection activeCell="O5" sqref="O5"/>
    </sheetView>
  </sheetViews>
  <sheetFormatPr defaultRowHeight="15" x14ac:dyDescent="0.25"/>
  <cols>
    <col min="1" max="1" width="11.42578125" bestFit="1" customWidth="1"/>
    <col min="2" max="2" width="14" customWidth="1"/>
    <col min="3" max="3" width="7.140625" style="1" customWidth="1"/>
    <col min="6" max="6" width="12.140625" bestFit="1" customWidth="1"/>
  </cols>
  <sheetData>
    <row r="1" spans="1:20" x14ac:dyDescent="0.25">
      <c r="A1" t="s">
        <v>0</v>
      </c>
      <c r="F1" t="s">
        <v>1</v>
      </c>
    </row>
    <row r="2" spans="1:20" ht="15.75" thickBot="1" x14ac:dyDescent="0.3">
      <c r="A2" t="s">
        <v>2</v>
      </c>
      <c r="B2" s="2">
        <v>46124</v>
      </c>
      <c r="F2" s="2">
        <v>46124</v>
      </c>
    </row>
    <row r="3" spans="1:20" x14ac:dyDescent="0.25">
      <c r="A3" s="3" t="s">
        <v>3</v>
      </c>
      <c r="B3" s="4" t="s">
        <v>4</v>
      </c>
      <c r="C3" s="20" t="s">
        <v>5</v>
      </c>
      <c r="D3" s="21"/>
      <c r="F3" s="3" t="s">
        <v>3</v>
      </c>
      <c r="G3" s="4" t="s">
        <v>4</v>
      </c>
      <c r="H3" s="5" t="s">
        <v>5</v>
      </c>
      <c r="J3" s="3" t="s">
        <v>6</v>
      </c>
      <c r="K3" s="4" t="s">
        <v>7</v>
      </c>
      <c r="L3" s="4" t="s">
        <v>8</v>
      </c>
      <c r="M3" s="5" t="s">
        <v>9</v>
      </c>
      <c r="R3" t="s">
        <v>36</v>
      </c>
    </row>
    <row r="4" spans="1:20" x14ac:dyDescent="0.25">
      <c r="A4" s="6" t="s">
        <v>10</v>
      </c>
      <c r="B4" s="1">
        <v>3</v>
      </c>
      <c r="C4" s="1" t="s">
        <v>11</v>
      </c>
      <c r="D4" s="7"/>
      <c r="F4" s="6" t="s">
        <v>10</v>
      </c>
      <c r="G4" s="1">
        <v>3</v>
      </c>
      <c r="H4" s="8" t="s">
        <v>11</v>
      </c>
      <c r="J4" s="9">
        <v>449</v>
      </c>
      <c r="K4" s="10">
        <v>495.07599999999991</v>
      </c>
      <c r="L4" s="10">
        <f>J4-K4</f>
        <v>-46.075999999999908</v>
      </c>
      <c r="M4" s="11">
        <f>-G4*L4</f>
        <v>138.22799999999972</v>
      </c>
    </row>
    <row r="5" spans="1:20" x14ac:dyDescent="0.25">
      <c r="A5" s="6" t="s">
        <v>12</v>
      </c>
      <c r="B5" s="1">
        <v>3</v>
      </c>
      <c r="C5" s="1" t="s">
        <v>11</v>
      </c>
      <c r="D5" s="7"/>
      <c r="F5" s="6" t="s">
        <v>12</v>
      </c>
      <c r="G5" s="1">
        <v>3</v>
      </c>
      <c r="H5" s="8" t="s">
        <v>11</v>
      </c>
      <c r="J5" s="9">
        <v>429</v>
      </c>
      <c r="K5" s="10">
        <v>465.09800000000001</v>
      </c>
      <c r="L5" s="10">
        <f t="shared" ref="L5:L27" si="0">J5-K5</f>
        <v>-36.098000000000013</v>
      </c>
      <c r="M5" s="7"/>
      <c r="R5" s="1" t="s">
        <v>37</v>
      </c>
      <c r="S5" s="1" t="s">
        <v>38</v>
      </c>
      <c r="T5" s="1" t="s">
        <v>39</v>
      </c>
    </row>
    <row r="6" spans="1:20" x14ac:dyDescent="0.25">
      <c r="A6" s="6" t="s">
        <v>13</v>
      </c>
      <c r="B6" s="1">
        <v>3</v>
      </c>
      <c r="C6" s="1" t="s">
        <v>11</v>
      </c>
      <c r="D6" s="7"/>
      <c r="F6" s="6" t="s">
        <v>13</v>
      </c>
      <c r="G6" s="1">
        <v>3</v>
      </c>
      <c r="H6" s="8" t="s">
        <v>11</v>
      </c>
      <c r="J6" s="9">
        <v>416</v>
      </c>
      <c r="K6" s="10">
        <v>456.53800000000001</v>
      </c>
      <c r="L6" s="10">
        <f t="shared" si="0"/>
        <v>-40.538000000000011</v>
      </c>
      <c r="M6" s="7"/>
      <c r="Q6" s="1">
        <v>1</v>
      </c>
      <c r="R6" s="1">
        <v>1</v>
      </c>
      <c r="S6" s="1" t="s">
        <v>40</v>
      </c>
      <c r="T6" s="1">
        <v>250</v>
      </c>
    </row>
    <row r="7" spans="1:20" x14ac:dyDescent="0.25">
      <c r="A7" s="6" t="s">
        <v>14</v>
      </c>
      <c r="B7" s="1">
        <v>3</v>
      </c>
      <c r="C7" s="1" t="s">
        <v>11</v>
      </c>
      <c r="D7" s="7"/>
      <c r="F7" s="6" t="s">
        <v>14</v>
      </c>
      <c r="G7" s="1">
        <v>3</v>
      </c>
      <c r="H7" s="8" t="s">
        <v>11</v>
      </c>
      <c r="J7" s="9">
        <v>410</v>
      </c>
      <c r="K7" s="10">
        <v>459.01</v>
      </c>
      <c r="L7" s="10">
        <f t="shared" si="0"/>
        <v>-49.009999999999991</v>
      </c>
      <c r="M7" s="7"/>
      <c r="Q7" s="1"/>
      <c r="R7" s="1"/>
    </row>
    <row r="8" spans="1:20" x14ac:dyDescent="0.25">
      <c r="A8" s="6" t="s">
        <v>15</v>
      </c>
      <c r="B8" s="1">
        <v>5</v>
      </c>
      <c r="D8" s="12" t="s">
        <v>16</v>
      </c>
      <c r="F8" s="6" t="s">
        <v>15</v>
      </c>
      <c r="G8" s="1">
        <v>5</v>
      </c>
      <c r="H8" s="13" t="s">
        <v>16</v>
      </c>
      <c r="J8" s="9">
        <v>420.35</v>
      </c>
      <c r="K8" s="10">
        <v>468.21</v>
      </c>
      <c r="L8" s="10">
        <f t="shared" si="0"/>
        <v>-47.859999999999957</v>
      </c>
      <c r="M8" s="7"/>
      <c r="Q8" s="1"/>
      <c r="R8" s="1"/>
    </row>
    <row r="9" spans="1:20" x14ac:dyDescent="0.25">
      <c r="A9" s="6" t="s">
        <v>17</v>
      </c>
      <c r="B9" s="1">
        <v>5</v>
      </c>
      <c r="D9" s="12" t="s">
        <v>16</v>
      </c>
      <c r="F9" s="6" t="s">
        <v>17</v>
      </c>
      <c r="G9" s="1">
        <v>5</v>
      </c>
      <c r="H9" s="13" t="s">
        <v>16</v>
      </c>
      <c r="J9" s="9">
        <v>449.51</v>
      </c>
      <c r="K9" s="10">
        <v>508.12200000000001</v>
      </c>
      <c r="L9" s="10">
        <f t="shared" si="0"/>
        <v>-58.612000000000023</v>
      </c>
      <c r="M9" s="7"/>
    </row>
    <row r="10" spans="1:20" x14ac:dyDescent="0.25">
      <c r="A10" s="6" t="s">
        <v>18</v>
      </c>
      <c r="B10" s="1">
        <v>5</v>
      </c>
      <c r="D10" s="12" t="s">
        <v>16</v>
      </c>
      <c r="F10" s="6" t="s">
        <v>18</v>
      </c>
      <c r="G10" s="1">
        <v>5</v>
      </c>
      <c r="H10" s="13" t="s">
        <v>16</v>
      </c>
      <c r="J10" s="9">
        <v>549</v>
      </c>
      <c r="K10" s="10">
        <v>578.16999999999996</v>
      </c>
      <c r="L10" s="10">
        <f t="shared" si="0"/>
        <v>-29.169999999999959</v>
      </c>
      <c r="M10" s="7"/>
    </row>
    <row r="11" spans="1:20" x14ac:dyDescent="0.25">
      <c r="A11" s="6" t="s">
        <v>19</v>
      </c>
      <c r="B11" s="1">
        <v>5</v>
      </c>
      <c r="D11" s="12" t="s">
        <v>16</v>
      </c>
      <c r="F11" s="6" t="s">
        <v>19</v>
      </c>
      <c r="G11" s="1">
        <v>5</v>
      </c>
      <c r="H11" s="13" t="s">
        <v>16</v>
      </c>
      <c r="J11" s="9">
        <v>620.27</v>
      </c>
      <c r="K11" s="10">
        <v>611.846</v>
      </c>
      <c r="L11" s="10">
        <f t="shared" si="0"/>
        <v>8.4239999999999782</v>
      </c>
      <c r="M11" s="7"/>
    </row>
    <row r="12" spans="1:20" x14ac:dyDescent="0.25">
      <c r="A12" s="6" t="s">
        <v>20</v>
      </c>
      <c r="B12" s="1">
        <v>5</v>
      </c>
      <c r="D12" s="12" t="s">
        <v>16</v>
      </c>
      <c r="F12" s="6" t="s">
        <v>20</v>
      </c>
      <c r="G12" s="1">
        <v>5</v>
      </c>
      <c r="H12" s="13" t="s">
        <v>16</v>
      </c>
      <c r="J12" s="9">
        <v>562.47</v>
      </c>
      <c r="K12" s="10">
        <v>634.24199999999996</v>
      </c>
      <c r="L12" s="10">
        <f t="shared" si="0"/>
        <v>-71.771999999999935</v>
      </c>
      <c r="M12" s="7"/>
    </row>
    <row r="13" spans="1:20" x14ac:dyDescent="0.25">
      <c r="A13" s="6" t="s">
        <v>21</v>
      </c>
      <c r="B13" s="1">
        <v>5</v>
      </c>
      <c r="D13" s="12" t="s">
        <v>16</v>
      </c>
      <c r="F13" s="6" t="s">
        <v>21</v>
      </c>
      <c r="G13" s="1">
        <v>5</v>
      </c>
      <c r="H13" s="13" t="s">
        <v>16</v>
      </c>
      <c r="J13" s="9">
        <v>397</v>
      </c>
      <c r="K13" s="10">
        <v>433.39800000000002</v>
      </c>
      <c r="L13" s="10">
        <f t="shared" si="0"/>
        <v>-36.398000000000025</v>
      </c>
      <c r="M13" s="7"/>
    </row>
    <row r="14" spans="1:20" x14ac:dyDescent="0.25">
      <c r="A14" s="6" t="s">
        <v>22</v>
      </c>
      <c r="B14" s="1">
        <v>5</v>
      </c>
      <c r="D14" s="12" t="s">
        <v>16</v>
      </c>
      <c r="F14" s="6" t="s">
        <v>22</v>
      </c>
      <c r="G14" s="1">
        <v>5</v>
      </c>
      <c r="H14" s="13" t="s">
        <v>16</v>
      </c>
      <c r="J14" s="9">
        <v>172.71</v>
      </c>
      <c r="K14" s="10">
        <v>238.49</v>
      </c>
      <c r="L14" s="10">
        <f t="shared" si="0"/>
        <v>-65.78</v>
      </c>
      <c r="M14" s="7"/>
    </row>
    <row r="15" spans="1:20" x14ac:dyDescent="0.25">
      <c r="A15" s="6" t="s">
        <v>23</v>
      </c>
      <c r="B15" s="1">
        <v>10</v>
      </c>
      <c r="D15" s="12" t="s">
        <v>16</v>
      </c>
      <c r="F15" s="6" t="s">
        <v>23</v>
      </c>
      <c r="G15" s="1">
        <v>10</v>
      </c>
      <c r="H15" s="13" t="s">
        <v>16</v>
      </c>
      <c r="J15" s="9">
        <v>0.55000000000000004</v>
      </c>
      <c r="K15" s="10">
        <v>186.262</v>
      </c>
      <c r="L15" s="10">
        <f t="shared" si="0"/>
        <v>-185.71199999999999</v>
      </c>
      <c r="M15" s="7"/>
    </row>
    <row r="16" spans="1:20" x14ac:dyDescent="0.25">
      <c r="A16" s="6" t="s">
        <v>24</v>
      </c>
      <c r="B16" s="1">
        <v>15</v>
      </c>
      <c r="D16" s="12" t="s">
        <v>16</v>
      </c>
      <c r="F16" s="6" t="s">
        <v>24</v>
      </c>
      <c r="G16" s="1">
        <v>15</v>
      </c>
      <c r="H16" s="13" t="s">
        <v>16</v>
      </c>
      <c r="J16" s="9">
        <v>0.01</v>
      </c>
      <c r="K16" s="10">
        <v>75.225999999999999</v>
      </c>
      <c r="L16" s="10">
        <f t="shared" si="0"/>
        <v>-75.215999999999994</v>
      </c>
      <c r="M16" s="7"/>
    </row>
    <row r="17" spans="1:13" x14ac:dyDescent="0.25">
      <c r="A17" s="6" t="s">
        <v>25</v>
      </c>
      <c r="B17" s="1"/>
      <c r="D17" s="7"/>
      <c r="F17" s="6" t="s">
        <v>25</v>
      </c>
      <c r="G17" s="1"/>
      <c r="H17" s="7"/>
      <c r="J17" s="9">
        <v>0</v>
      </c>
      <c r="K17" s="10">
        <v>79.811999999999998</v>
      </c>
      <c r="L17" s="10">
        <f t="shared" si="0"/>
        <v>-79.811999999999998</v>
      </c>
      <c r="M17" s="7"/>
    </row>
    <row r="18" spans="1:13" x14ac:dyDescent="0.25">
      <c r="A18" s="6" t="s">
        <v>26</v>
      </c>
      <c r="B18" s="1">
        <v>5</v>
      </c>
      <c r="C18" s="1" t="s">
        <v>11</v>
      </c>
      <c r="D18" s="7"/>
      <c r="F18" s="6" t="s">
        <v>26</v>
      </c>
      <c r="G18" s="1">
        <v>5</v>
      </c>
      <c r="H18" s="8" t="s">
        <v>11</v>
      </c>
      <c r="J18" s="9">
        <v>0</v>
      </c>
      <c r="K18" s="10">
        <v>119.44199999999999</v>
      </c>
      <c r="L18" s="10">
        <f t="shared" si="0"/>
        <v>-119.44199999999999</v>
      </c>
      <c r="M18" s="7"/>
    </row>
    <row r="19" spans="1:13" x14ac:dyDescent="0.25">
      <c r="A19" s="6" t="s">
        <v>27</v>
      </c>
      <c r="B19" s="1">
        <v>8</v>
      </c>
      <c r="C19" s="1" t="s">
        <v>11</v>
      </c>
      <c r="D19" s="7"/>
      <c r="F19" s="6" t="s">
        <v>27</v>
      </c>
      <c r="G19" s="1">
        <v>8</v>
      </c>
      <c r="H19" s="8" t="s">
        <v>11</v>
      </c>
      <c r="J19" s="9">
        <v>2</v>
      </c>
      <c r="K19" s="10">
        <v>151.30600000000001</v>
      </c>
      <c r="L19" s="10">
        <f t="shared" si="0"/>
        <v>-149.30600000000001</v>
      </c>
      <c r="M19" s="7"/>
    </row>
    <row r="20" spans="1:13" x14ac:dyDescent="0.25">
      <c r="A20" s="6" t="s">
        <v>28</v>
      </c>
      <c r="B20" s="1">
        <v>8</v>
      </c>
      <c r="C20" s="1" t="s">
        <v>11</v>
      </c>
      <c r="D20" s="7"/>
      <c r="F20" s="6" t="s">
        <v>28</v>
      </c>
      <c r="G20" s="1">
        <v>8</v>
      </c>
      <c r="H20" s="8" t="s">
        <v>11</v>
      </c>
      <c r="J20" s="9">
        <v>215</v>
      </c>
      <c r="K20" s="10">
        <v>388.60599999999999</v>
      </c>
      <c r="L20" s="10">
        <f t="shared" si="0"/>
        <v>-173.60599999999999</v>
      </c>
      <c r="M20" s="7"/>
    </row>
    <row r="21" spans="1:13" x14ac:dyDescent="0.25">
      <c r="A21" s="6" t="s">
        <v>29</v>
      </c>
      <c r="B21" s="1">
        <v>8</v>
      </c>
      <c r="C21" s="1" t="s">
        <v>11</v>
      </c>
      <c r="D21" s="7"/>
      <c r="F21" s="6" t="s">
        <v>29</v>
      </c>
      <c r="G21" s="1">
        <v>8</v>
      </c>
      <c r="H21" s="8" t="s">
        <v>11</v>
      </c>
      <c r="J21" s="9">
        <v>384.5</v>
      </c>
      <c r="K21" s="10">
        <v>562.05199999999991</v>
      </c>
      <c r="L21" s="10">
        <f t="shared" si="0"/>
        <v>-177.55199999999991</v>
      </c>
      <c r="M21" s="7"/>
    </row>
    <row r="22" spans="1:13" x14ac:dyDescent="0.25">
      <c r="A22" s="6" t="s">
        <v>30</v>
      </c>
      <c r="B22" s="1">
        <v>8</v>
      </c>
      <c r="C22" s="1" t="s">
        <v>11</v>
      </c>
      <c r="D22" s="7"/>
      <c r="F22" s="6" t="s">
        <v>30</v>
      </c>
      <c r="G22" s="1">
        <v>8</v>
      </c>
      <c r="H22" s="8" t="s">
        <v>11</v>
      </c>
      <c r="J22" s="9">
        <v>495.17</v>
      </c>
      <c r="K22" s="10">
        <v>633.43200000000002</v>
      </c>
      <c r="L22" s="10">
        <f t="shared" si="0"/>
        <v>-138.262</v>
      </c>
      <c r="M22" s="7"/>
    </row>
    <row r="23" spans="1:13" x14ac:dyDescent="0.25">
      <c r="A23" s="6" t="s">
        <v>31</v>
      </c>
      <c r="B23" s="1">
        <v>8</v>
      </c>
      <c r="C23" s="1" t="s">
        <v>11</v>
      </c>
      <c r="D23" s="7"/>
      <c r="F23" s="6" t="s">
        <v>31</v>
      </c>
      <c r="G23" s="1">
        <v>8</v>
      </c>
      <c r="H23" s="8" t="s">
        <v>11</v>
      </c>
      <c r="J23" s="9">
        <v>572</v>
      </c>
      <c r="K23" s="10">
        <v>697.58999999999992</v>
      </c>
      <c r="L23" s="10">
        <f t="shared" si="0"/>
        <v>-125.58999999999992</v>
      </c>
      <c r="M23" s="7"/>
    </row>
    <row r="24" spans="1:13" x14ac:dyDescent="0.25">
      <c r="A24" s="6" t="s">
        <v>32</v>
      </c>
      <c r="B24" s="1">
        <v>4</v>
      </c>
      <c r="C24" s="1" t="s">
        <v>11</v>
      </c>
      <c r="D24" s="7"/>
      <c r="F24" s="6" t="s">
        <v>32</v>
      </c>
      <c r="G24" s="1">
        <v>4</v>
      </c>
      <c r="H24" s="8" t="s">
        <v>11</v>
      </c>
      <c r="J24" s="9">
        <v>610</v>
      </c>
      <c r="K24" s="10">
        <v>671.02</v>
      </c>
      <c r="L24" s="10">
        <f t="shared" si="0"/>
        <v>-61.019999999999982</v>
      </c>
      <c r="M24" s="7"/>
    </row>
    <row r="25" spans="1:13" x14ac:dyDescent="0.25">
      <c r="A25" s="6" t="s">
        <v>33</v>
      </c>
      <c r="B25" s="1"/>
      <c r="D25" s="7"/>
      <c r="F25" s="6" t="s">
        <v>33</v>
      </c>
      <c r="G25" s="1"/>
      <c r="H25" s="7"/>
      <c r="J25" s="9">
        <v>507.14</v>
      </c>
      <c r="K25" s="10">
        <v>582.38</v>
      </c>
      <c r="L25" s="10">
        <f t="shared" si="0"/>
        <v>-75.240000000000009</v>
      </c>
      <c r="M25" s="7"/>
    </row>
    <row r="26" spans="1:13" x14ac:dyDescent="0.25">
      <c r="A26" s="6" t="s">
        <v>34</v>
      </c>
      <c r="B26" s="1"/>
      <c r="D26" s="7"/>
      <c r="F26" s="6" t="s">
        <v>34</v>
      </c>
      <c r="G26" s="1"/>
      <c r="H26" s="7"/>
      <c r="J26" s="9">
        <v>463.36</v>
      </c>
      <c r="K26" s="10">
        <v>537.51</v>
      </c>
      <c r="L26" s="10">
        <f t="shared" si="0"/>
        <v>-74.149999999999977</v>
      </c>
      <c r="M26" s="7"/>
    </row>
    <row r="27" spans="1:13" ht="15.75" thickBot="1" x14ac:dyDescent="0.3">
      <c r="A27" s="14" t="s">
        <v>35</v>
      </c>
      <c r="B27" s="15"/>
      <c r="C27" s="15"/>
      <c r="D27" s="16"/>
      <c r="F27" s="14" t="s">
        <v>35</v>
      </c>
      <c r="G27" s="15"/>
      <c r="H27" s="16"/>
      <c r="J27" s="17">
        <v>427.65</v>
      </c>
      <c r="K27" s="18">
        <v>516.31200000000001</v>
      </c>
      <c r="L27" s="19">
        <f t="shared" si="0"/>
        <v>-88.662000000000035</v>
      </c>
      <c r="M27" s="16"/>
    </row>
  </sheetData>
  <mergeCells count="1">
    <mergeCell ref="C3:D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D71F-5A55-4260-A912-41A8DBE9D651}">
  <dimension ref="H8:R31"/>
  <sheetViews>
    <sheetView tabSelected="1" workbookViewId="0">
      <selection activeCell="N12" sqref="N12:N14"/>
    </sheetView>
  </sheetViews>
  <sheetFormatPr defaultRowHeight="15" x14ac:dyDescent="0.25"/>
  <cols>
    <col min="14" max="14" width="19.28515625" customWidth="1"/>
  </cols>
  <sheetData>
    <row r="8" spans="8:18" x14ac:dyDescent="0.25">
      <c r="H8" s="1">
        <v>1</v>
      </c>
      <c r="M8" t="s">
        <v>44</v>
      </c>
    </row>
    <row r="9" spans="8:18" x14ac:dyDescent="0.25">
      <c r="H9" s="1">
        <v>2</v>
      </c>
      <c r="M9" t="s">
        <v>42</v>
      </c>
      <c r="N9" t="s">
        <v>41</v>
      </c>
      <c r="O9">
        <v>8849</v>
      </c>
      <c r="R9">
        <v>42539</v>
      </c>
    </row>
    <row r="10" spans="8:18" x14ac:dyDescent="0.25">
      <c r="H10" s="1">
        <v>3</v>
      </c>
      <c r="M10" t="s">
        <v>43</v>
      </c>
      <c r="N10" t="s">
        <v>43</v>
      </c>
      <c r="O10">
        <v>-4764</v>
      </c>
      <c r="P10">
        <f>O9-R10</f>
        <v>-3912.6999999999989</v>
      </c>
      <c r="R10">
        <f>R9*0.3</f>
        <v>12761.699999999999</v>
      </c>
    </row>
    <row r="11" spans="8:18" x14ac:dyDescent="0.25">
      <c r="H11" s="1">
        <v>4</v>
      </c>
    </row>
    <row r="12" spans="8:18" x14ac:dyDescent="0.25">
      <c r="H12" s="1">
        <v>5</v>
      </c>
      <c r="N12">
        <v>4746</v>
      </c>
    </row>
    <row r="13" spans="8:18" x14ac:dyDescent="0.25">
      <c r="H13" s="1">
        <v>6</v>
      </c>
      <c r="N13">
        <v>634</v>
      </c>
    </row>
    <row r="14" spans="8:18" x14ac:dyDescent="0.25">
      <c r="H14" s="1">
        <v>7</v>
      </c>
      <c r="N14">
        <v>6193</v>
      </c>
    </row>
    <row r="15" spans="8:18" x14ac:dyDescent="0.25">
      <c r="H15" s="1">
        <v>8</v>
      </c>
    </row>
    <row r="16" spans="8:18" x14ac:dyDescent="0.25">
      <c r="H16" s="1">
        <v>9</v>
      </c>
    </row>
    <row r="17" spans="8:9" x14ac:dyDescent="0.25">
      <c r="H17" s="1">
        <v>10</v>
      </c>
    </row>
    <row r="18" spans="8:9" x14ac:dyDescent="0.25">
      <c r="H18" s="1">
        <v>11</v>
      </c>
    </row>
    <row r="19" spans="8:9" x14ac:dyDescent="0.25">
      <c r="H19" s="1">
        <v>12</v>
      </c>
    </row>
    <row r="20" spans="8:9" x14ac:dyDescent="0.25">
      <c r="H20" s="1">
        <v>13</v>
      </c>
    </row>
    <row r="21" spans="8:9" x14ac:dyDescent="0.25">
      <c r="H21" s="1">
        <v>14</v>
      </c>
    </row>
    <row r="22" spans="8:9" x14ac:dyDescent="0.25">
      <c r="H22" s="1">
        <v>15</v>
      </c>
    </row>
    <row r="23" spans="8:9" x14ac:dyDescent="0.25">
      <c r="H23" s="1">
        <v>16</v>
      </c>
    </row>
    <row r="24" spans="8:9" x14ac:dyDescent="0.25">
      <c r="H24" s="1">
        <v>17</v>
      </c>
    </row>
    <row r="25" spans="8:9" x14ac:dyDescent="0.25">
      <c r="H25" s="1">
        <v>18</v>
      </c>
    </row>
    <row r="26" spans="8:9" x14ac:dyDescent="0.25">
      <c r="H26" s="1">
        <v>19</v>
      </c>
      <c r="I26">
        <v>-5</v>
      </c>
    </row>
    <row r="27" spans="8:9" x14ac:dyDescent="0.25">
      <c r="H27" s="1">
        <v>20</v>
      </c>
      <c r="I27">
        <v>-5</v>
      </c>
    </row>
    <row r="28" spans="8:9" x14ac:dyDescent="0.25">
      <c r="H28" s="1">
        <v>21</v>
      </c>
      <c r="I28">
        <v>-5</v>
      </c>
    </row>
    <row r="29" spans="8:9" x14ac:dyDescent="0.25">
      <c r="H29" s="1">
        <v>22</v>
      </c>
      <c r="I29">
        <v>-5</v>
      </c>
    </row>
    <row r="30" spans="8:9" x14ac:dyDescent="0.25">
      <c r="H30" s="1">
        <v>23</v>
      </c>
      <c r="I30">
        <v>-5</v>
      </c>
    </row>
    <row r="31" spans="8:9" x14ac:dyDescent="0.25">
      <c r="H31" s="1">
        <v>24</v>
      </c>
      <c r="I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Arkusz3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Radosław Łuczak</dc:creator>
  <cp:lastModifiedBy>Radosław Łuczak</cp:lastModifiedBy>
  <dcterms:created xsi:type="dcterms:W3CDTF">2026-04-12T17:44:37Z</dcterms:created>
  <dcterms:modified xsi:type="dcterms:W3CDTF">2026-04-18T05:44:17Z</dcterms:modified>
</cp:coreProperties>
</file>