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luczak\Desktop\Quan\08_dane\"/>
    </mc:Choice>
  </mc:AlternateContent>
  <xr:revisionPtr revIDLastSave="0" documentId="8_{8498F1C0-4DE5-4041-A495-58AF6DA83CF9}" xr6:coauthVersionLast="47" xr6:coauthVersionMax="47" xr10:uidLastSave="{00000000-0000-0000-0000-000000000000}"/>
  <bookViews>
    <workbookView xWindow="-110" yWindow="-110" windowWidth="19420" windowHeight="11500" xr2:uid="{EC1BA46D-ACA7-4A17-A887-0CC074434869}"/>
  </bookViews>
  <sheets>
    <sheet name="aktualne CO2" sheetId="1" r:id="rId1"/>
  </sheets>
  <definedNames>
    <definedName name="_xlnm._FilterDatabase" localSheetId="0" hidden="1">'aktualne CO2'!$A$1:$H$457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43" i="1" l="1"/>
  <c r="N2544" i="1" s="1"/>
  <c r="N2545" i="1" s="1"/>
  <c r="N2546" i="1" s="1"/>
  <c r="N2547" i="1" s="1"/>
  <c r="N2548" i="1" s="1"/>
  <c r="N2549" i="1" s="1"/>
  <c r="N2550" i="1" s="1"/>
  <c r="N2551" i="1" s="1"/>
  <c r="N2552" i="1" s="1"/>
  <c r="N2553" i="1" s="1"/>
  <c r="N2554" i="1" s="1"/>
  <c r="N2555" i="1" s="1"/>
  <c r="N2556" i="1" s="1"/>
  <c r="N2557" i="1" s="1"/>
  <c r="N2558" i="1" s="1"/>
  <c r="R2054" i="1"/>
  <c r="P2054" i="1"/>
  <c r="N2054" i="1"/>
  <c r="L2054" i="1"/>
  <c r="R2053" i="1"/>
  <c r="P2053" i="1"/>
  <c r="N2053" i="1"/>
  <c r="L2053" i="1"/>
  <c r="O1954" i="1"/>
  <c r="P1949" i="1"/>
  <c r="R1949" i="1" s="1"/>
  <c r="R1943" i="1"/>
  <c r="O1943" i="1"/>
  <c r="O1944" i="1" s="1"/>
  <c r="O1945" i="1" s="1"/>
  <c r="O1946" i="1" s="1"/>
  <c r="M1943" i="1"/>
  <c r="R1936" i="1"/>
  <c r="R1915" i="1"/>
  <c r="R1916" i="1" s="1"/>
  <c r="R1917" i="1" s="1"/>
  <c r="R1918" i="1" s="1"/>
  <c r="R1919" i="1" s="1"/>
  <c r="O1915" i="1"/>
  <c r="O1916" i="1" s="1"/>
  <c r="O1917" i="1" s="1"/>
  <c r="O1918" i="1" s="1"/>
  <c r="O1919" i="1" s="1"/>
  <c r="O1920" i="1" s="1"/>
  <c r="O1906" i="1"/>
  <c r="O1907" i="1" s="1"/>
  <c r="O1908" i="1" s="1"/>
  <c r="O1909" i="1" s="1"/>
  <c r="O1910" i="1" s="1"/>
  <c r="O1911" i="1" s="1"/>
  <c r="O1912" i="1" s="1"/>
  <c r="O1913" i="1" s="1"/>
  <c r="O1901" i="1"/>
  <c r="O1902" i="1" s="1"/>
  <c r="O1903" i="1" s="1"/>
  <c r="O1904" i="1" s="1"/>
  <c r="O1900" i="1"/>
  <c r="R1898" i="1"/>
  <c r="O1895" i="1"/>
  <c r="O1896" i="1" s="1"/>
  <c r="O1897" i="1" s="1"/>
  <c r="O1898" i="1" s="1"/>
  <c r="R1889" i="1"/>
  <c r="R1890" i="1" s="1"/>
  <c r="R1891" i="1" s="1"/>
  <c r="R1888" i="1"/>
  <c r="R1884" i="1"/>
  <c r="O1881" i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79" i="1"/>
  <c r="O1878" i="1"/>
  <c r="O1873" i="1"/>
  <c r="R1860" i="1"/>
  <c r="R1861" i="1" s="1"/>
  <c r="R1862" i="1" s="1"/>
  <c r="R1857" i="1"/>
  <c r="R1850" i="1"/>
  <c r="O1850" i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M1850" i="1"/>
  <c r="R1840" i="1"/>
  <c r="R1841" i="1" s="1"/>
  <c r="R1842" i="1" s="1"/>
  <c r="R1843" i="1" s="1"/>
  <c r="R1832" i="1"/>
  <c r="R1833" i="1" s="1"/>
  <c r="R1834" i="1" s="1"/>
  <c r="R1835" i="1" s="1"/>
  <c r="R1836" i="1" s="1"/>
  <c r="R1837" i="1" s="1"/>
  <c r="R1838" i="1" s="1"/>
  <c r="O1838" i="1" s="1"/>
  <c r="O1839" i="1" s="1"/>
  <c r="O1840" i="1" s="1"/>
  <c r="O1841" i="1" s="1"/>
  <c r="M1818" i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14" i="1"/>
  <c r="M1815" i="1" s="1"/>
  <c r="M1808" i="1"/>
  <c r="M1807" i="1"/>
  <c r="M1803" i="1"/>
  <c r="P1796" i="1"/>
  <c r="P1789" i="1"/>
  <c r="M1789" i="1"/>
  <c r="M1783" i="1"/>
  <c r="M1784" i="1" s="1"/>
  <c r="M1785" i="1" s="1"/>
  <c r="M1786" i="1" s="1"/>
  <c r="M1781" i="1"/>
  <c r="M1779" i="1"/>
  <c r="M1775" i="1"/>
  <c r="M1769" i="1"/>
  <c r="M1770" i="1" s="1"/>
  <c r="M1771" i="1" s="1"/>
  <c r="P1767" i="1"/>
  <c r="P1765" i="1"/>
  <c r="M1765" i="1"/>
  <c r="M1766" i="1" s="1"/>
  <c r="M1767" i="1" s="1"/>
  <c r="P1761" i="1"/>
  <c r="M1760" i="1"/>
  <c r="M1761" i="1" s="1"/>
  <c r="P1759" i="1"/>
  <c r="M1759" i="1"/>
  <c r="P1758" i="1"/>
  <c r="M1756" i="1"/>
  <c r="M1757" i="1" s="1"/>
  <c r="M1755" i="1"/>
  <c r="P1752" i="1"/>
  <c r="P1753" i="1" s="1"/>
  <c r="M1752" i="1"/>
  <c r="M1753" i="1" s="1"/>
  <c r="P1751" i="1"/>
  <c r="M1751" i="1"/>
  <c r="P1744" i="1"/>
  <c r="M1732" i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P1730" i="1"/>
  <c r="M1726" i="1"/>
  <c r="P1724" i="1"/>
  <c r="P1725" i="1" s="1"/>
  <c r="P1726" i="1" s="1"/>
  <c r="P1714" i="1"/>
  <c r="P1715" i="1" s="1"/>
  <c r="P1716" i="1" s="1"/>
  <c r="P1713" i="1"/>
  <c r="P1711" i="1"/>
  <c r="K1710" i="1"/>
  <c r="N1709" i="1"/>
  <c r="P1709" i="1" s="1"/>
  <c r="M1707" i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06" i="1"/>
  <c r="M1703" i="1"/>
  <c r="M1704" i="1" s="1"/>
  <c r="N1702" i="1"/>
  <c r="P1702" i="1" s="1"/>
  <c r="M1702" i="1"/>
  <c r="M1696" i="1"/>
  <c r="P1695" i="1"/>
  <c r="P1690" i="1"/>
  <c r="P1687" i="1"/>
  <c r="M1687" i="1"/>
  <c r="M1688" i="1" s="1"/>
  <c r="M1689" i="1" s="1"/>
  <c r="M1690" i="1" s="1"/>
  <c r="P1686" i="1"/>
  <c r="M1686" i="1"/>
  <c r="K1686" i="1"/>
  <c r="K1687" i="1" s="1"/>
  <c r="K1688" i="1" s="1"/>
  <c r="P1685" i="1"/>
  <c r="M1685" i="1"/>
  <c r="K1685" i="1"/>
  <c r="R1684" i="1"/>
  <c r="R1683" i="1"/>
  <c r="R1682" i="1"/>
  <c r="P1682" i="1"/>
  <c r="P1683" i="1" s="1"/>
  <c r="M1682" i="1"/>
  <c r="R1681" i="1"/>
  <c r="R1680" i="1"/>
  <c r="P1678" i="1"/>
  <c r="P1679" i="1" s="1"/>
  <c r="P1680" i="1" s="1"/>
  <c r="M1678" i="1"/>
  <c r="M1679" i="1" s="1"/>
  <c r="M1680" i="1" s="1"/>
  <c r="P1667" i="1"/>
  <c r="P1657" i="1"/>
  <c r="P1658" i="1" s="1"/>
  <c r="P1659" i="1" s="1"/>
  <c r="P1660" i="1" s="1"/>
  <c r="P1661" i="1" s="1"/>
  <c r="P1653" i="1"/>
  <c r="P1654" i="1" s="1"/>
  <c r="P1655" i="1" s="1"/>
  <c r="P1644" i="1"/>
  <c r="P1645" i="1" s="1"/>
  <c r="P1643" i="1"/>
  <c r="K1643" i="1"/>
  <c r="K1644" i="1" s="1"/>
  <c r="K1645" i="1" s="1"/>
  <c r="P1641" i="1"/>
  <c r="P1636" i="1"/>
  <c r="P1637" i="1" s="1"/>
  <c r="P1638" i="1" s="1"/>
  <c r="P1619" i="1"/>
  <c r="P1620" i="1" s="1"/>
  <c r="N1611" i="1"/>
  <c r="P1611" i="1" s="1"/>
  <c r="P1612" i="1" s="1"/>
  <c r="P1601" i="1"/>
  <c r="P1602" i="1" s="1"/>
  <c r="P1603" i="1" s="1"/>
  <c r="P1604" i="1" s="1"/>
  <c r="P1605" i="1" s="1"/>
  <c r="P1598" i="1"/>
  <c r="P1599" i="1" s="1"/>
  <c r="P1563" i="1"/>
  <c r="P1557" i="1"/>
  <c r="P1535" i="1"/>
  <c r="P1529" i="1"/>
  <c r="P1522" i="1"/>
  <c r="P1513" i="1"/>
  <c r="P1496" i="1"/>
  <c r="P1497" i="1" s="1"/>
  <c r="P1498" i="1" s="1"/>
  <c r="P1499" i="1" s="1"/>
  <c r="P1492" i="1"/>
  <c r="P1486" i="1"/>
  <c r="P1485" i="1"/>
  <c r="P1469" i="1"/>
  <c r="P1470" i="1" s="1"/>
  <c r="P1471" i="1" s="1"/>
  <c r="P1468" i="1"/>
  <c r="K1468" i="1"/>
  <c r="K1469" i="1" s="1"/>
  <c r="K1470" i="1" s="1"/>
  <c r="P1467" i="1"/>
  <c r="N1465" i="1"/>
  <c r="P1464" i="1"/>
  <c r="P1465" i="1" s="1"/>
  <c r="N1464" i="1"/>
  <c r="K1460" i="1"/>
  <c r="K1455" i="1"/>
  <c r="K1456" i="1" s="1"/>
  <c r="K1457" i="1" s="1"/>
  <c r="N1454" i="1"/>
  <c r="N1455" i="1" s="1"/>
  <c r="N1456" i="1" s="1"/>
  <c r="N1457" i="1" s="1"/>
  <c r="N1458" i="1" s="1"/>
  <c r="N1459" i="1" s="1"/>
  <c r="N1460" i="1" s="1"/>
  <c r="K1454" i="1"/>
  <c r="N1453" i="1"/>
  <c r="K1438" i="1"/>
  <c r="K1439" i="1" s="1"/>
  <c r="N1432" i="1"/>
  <c r="L1033" i="1"/>
  <c r="L860" i="1"/>
  <c r="L861" i="1" s="1"/>
  <c r="L859" i="1"/>
  <c r="L818" i="1"/>
  <c r="L819" i="1" s="1"/>
  <c r="L820" i="1" s="1"/>
  <c r="L817" i="1"/>
  <c r="L739" i="1"/>
  <c r="L719" i="1"/>
  <c r="L720" i="1" s="1"/>
  <c r="L721" i="1" s="1"/>
  <c r="L722" i="1" s="1"/>
  <c r="L723" i="1" s="1"/>
  <c r="B63" i="1"/>
  <c r="F62" i="1"/>
  <c r="F63" i="1" s="1"/>
  <c r="D62" i="1"/>
  <c r="D63" i="1" s="1"/>
  <c r="B62" i="1"/>
  <c r="F55" i="1"/>
  <c r="F56" i="1" s="1"/>
  <c r="D55" i="1"/>
  <c r="D56" i="1" s="1"/>
  <c r="B55" i="1"/>
  <c r="B56" i="1" s="1"/>
  <c r="B49" i="1"/>
  <c r="F48" i="1"/>
  <c r="F49" i="1" s="1"/>
  <c r="D48" i="1"/>
  <c r="D49" i="1" s="1"/>
  <c r="B48" i="1"/>
  <c r="F41" i="1"/>
  <c r="F42" i="1" s="1"/>
  <c r="D41" i="1"/>
  <c r="D42" i="1" s="1"/>
  <c r="B41" i="1"/>
  <c r="B42" i="1" s="1"/>
  <c r="R1844" i="1" l="1"/>
  <c r="O1845" i="1" s="1"/>
  <c r="O1846" i="1" s="1"/>
  <c r="O1847" i="1" s="1"/>
  <c r="O1848" i="1" s="1"/>
  <c r="O1843" i="1"/>
  <c r="O1861" i="1"/>
  <c r="O1862" i="1" s="1"/>
  <c r="O1863" i="1" s="1"/>
  <c r="O1864" i="1" s="1"/>
  <c r="O1865" i="1" s="1"/>
  <c r="O1866" i="1" s="1"/>
  <c r="M1949" i="1"/>
  <c r="O19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Karpiński Mateusz</author>
    <author>Grima Marcin (TPE)</author>
  </authors>
  <commentList>
    <comment ref="A1" authorId="0" shapeId="0" xr:uid="{7AB9F7A7-1A4B-422A-A342-78E367882E94}">
      <text>
        <r>
          <rPr>
            <sz val="9"/>
            <color indexed="81"/>
            <rFont val="Tahoma"/>
            <family val="2"/>
            <charset val="238"/>
          </rPr>
          <t>VWAP z Raportu FC z danego dnia, dane trasakcyjne z poprzedniego dnia</t>
        </r>
      </text>
    </comment>
    <comment ref="F127" authorId="0" shapeId="0" xr:uid="{6AABBE2E-6328-4E6A-B5C6-5676EC190390}">
      <text>
        <r>
          <rPr>
            <b/>
            <sz val="9"/>
            <color indexed="81"/>
            <rFont val="Tahoma"/>
            <family val="2"/>
            <charset val="238"/>
          </rPr>
          <t>Karpiński Mateusz:</t>
        </r>
        <r>
          <rPr>
            <sz val="9"/>
            <color indexed="81"/>
            <rFont val="Tahoma"/>
            <family val="2"/>
            <charset val="238"/>
          </rPr>
          <t xml:space="preserve">
brak VWAP
to jest Sett</t>
        </r>
      </text>
    </comment>
    <comment ref="N127" authorId="0" shapeId="0" xr:uid="{5FFD5741-9121-485D-B5F9-E66376C4C24B}">
      <text>
        <r>
          <rPr>
            <b/>
            <sz val="9"/>
            <color indexed="81"/>
            <rFont val="Tahoma"/>
            <family val="2"/>
            <charset val="238"/>
          </rPr>
          <t>Karpiński Mateusz:</t>
        </r>
        <r>
          <rPr>
            <sz val="9"/>
            <color indexed="81"/>
            <rFont val="Tahoma"/>
            <family val="2"/>
            <charset val="238"/>
          </rPr>
          <t xml:space="preserve">
brak VWAP
to jest Sett</t>
        </r>
      </text>
    </comment>
    <comment ref="F865" authorId="1" shapeId="0" xr:uid="{7959EB95-A67F-477F-80FE-B87B13A2DDBC}">
      <text>
        <r>
          <rPr>
            <b/>
            <sz val="9"/>
            <color indexed="81"/>
            <rFont val="Tahoma"/>
            <family val="2"/>
            <charset val="238"/>
          </rPr>
          <t>Grima Marcin (TPE):</t>
        </r>
        <r>
          <rPr>
            <sz val="9"/>
            <color indexed="81"/>
            <rFont val="Tahoma"/>
            <family val="2"/>
            <charset val="238"/>
          </rPr>
          <t xml:space="preserve">
poziom z 14.05</t>
        </r>
      </text>
    </comment>
  </commentList>
</comments>
</file>

<file path=xl/sharedStrings.xml><?xml version="1.0" encoding="utf-8"?>
<sst xmlns="http://schemas.openxmlformats.org/spreadsheetml/2006/main" count="27" uniqueCount="27">
  <si>
    <t>aktualne CO2</t>
  </si>
  <si>
    <t>DEC-2019</t>
  </si>
  <si>
    <t>MAR-2020</t>
  </si>
  <si>
    <t>DEC-2020</t>
  </si>
  <si>
    <t>MAR-2021</t>
  </si>
  <si>
    <t>DEC-2021</t>
  </si>
  <si>
    <t>MAR-2022 settle</t>
  </si>
  <si>
    <t>DEC-2022</t>
  </si>
  <si>
    <t>MAR-2023</t>
  </si>
  <si>
    <t>DEC-2023</t>
  </si>
  <si>
    <t>MAR-2024</t>
  </si>
  <si>
    <t>DEC-2024</t>
  </si>
  <si>
    <t>MAR-2025</t>
  </si>
  <si>
    <t>DEC-2025</t>
  </si>
  <si>
    <t>MAR-2026</t>
  </si>
  <si>
    <t>DEC-2026</t>
  </si>
  <si>
    <t>MAR-2027</t>
  </si>
  <si>
    <t>DEC-2027</t>
  </si>
  <si>
    <t>DEC-2028</t>
  </si>
  <si>
    <t>AUG-2027</t>
  </si>
  <si>
    <t>AUG-2028</t>
  </si>
  <si>
    <t>AUG-2029</t>
  </si>
  <si>
    <t>DEC-2029</t>
  </si>
  <si>
    <t>AUG-2030</t>
  </si>
  <si>
    <t>CALC</t>
  </si>
  <si>
    <t>SETTLE</t>
  </si>
  <si>
    <t>VWAP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</si>
</sst>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3" borderId="0" xfId="0" applyNumberFormat="1" applyFill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2" fontId="0" fillId="5" borderId="0" xfId="0" applyNumberFormat="1" applyFill="1" applyAlignment="1">
      <alignment horizontal="center" vertical="center"/>
    </xf>
  </cellXfs>
  <cellStyles count="1">
    <cellStyle name="Normalny" xfId="0" builtinId="0"/>
  </cellStyles>
  <dxfs count="1">
    <dxf>
      <font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C6D0-3EA3-4644-8D3C-232FF9370CCA}">
  <sheetPr codeName="Arkusz7">
    <tabColor rgb="FFFFFF00"/>
  </sheetPr>
  <dimension ref="A1:AE2923"/>
  <sheetViews>
    <sheetView tabSelected="1" zoomScale="115" zoomScaleNormal="115" workbookViewId="0">
      <pane xSplit="1" ySplit="1" topLeftCell="B1048560" activePane="bottomRight" state="frozen"/>
      <selection pane="topRight"/>
      <selection pane="bottomLeft"/>
      <selection pane="bottomRight" activeCell="A1048576" sqref="A1048576"/>
    </sheetView>
  </sheetViews>
  <sheetFormatPr defaultRowHeight="14.5" x14ac:dyDescent="0.35"/>
  <cols>
    <col min="1" max="1" width="18.54296875" style="25" customWidth="1"/>
    <col min="2" max="2" width="8.7265625" style="8"/>
    <col min="3" max="3" width="10.453125" style="8" customWidth="1"/>
    <col min="4" max="4" width="8.7265625" style="8"/>
    <col min="5" max="5" width="10.54296875" style="8" bestFit="1" customWidth="1"/>
    <col min="6" max="8" width="8.7265625" style="8"/>
    <col min="9" max="9" width="9.453125" style="8" customWidth="1"/>
    <col min="10" max="10" width="8.7265625" style="8"/>
    <col min="11" max="11" width="9.453125" style="8" customWidth="1"/>
    <col min="12" max="12" width="8.7265625" style="8"/>
    <col min="13" max="13" width="10.453125" style="8" customWidth="1"/>
    <col min="14" max="15" width="8.7265625" style="8"/>
    <col min="16" max="16" width="10.453125" style="8" bestFit="1" customWidth="1"/>
    <col min="17" max="27" width="8.7265625" style="8"/>
    <col min="28" max="31" width="8.7265625" style="9"/>
  </cols>
  <sheetData>
    <row r="1" spans="1:31" s="3" customFormat="1" ht="43.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AC1" s="4" t="s">
        <v>24</v>
      </c>
      <c r="AD1" s="5" t="s">
        <v>25</v>
      </c>
      <c r="AE1" s="6" t="s">
        <v>26</v>
      </c>
    </row>
    <row r="2" spans="1:31" x14ac:dyDescent="0.35">
      <c r="A2" s="7">
        <v>43466</v>
      </c>
    </row>
    <row r="3" spans="1:31" x14ac:dyDescent="0.35">
      <c r="A3" s="7">
        <v>43467</v>
      </c>
      <c r="B3" s="8">
        <v>25.25</v>
      </c>
      <c r="D3" s="8">
        <v>25.83</v>
      </c>
      <c r="F3" s="8">
        <v>26.6</v>
      </c>
    </row>
    <row r="4" spans="1:31" x14ac:dyDescent="0.35">
      <c r="A4" s="7">
        <v>43468</v>
      </c>
      <c r="B4" s="8">
        <v>24.27</v>
      </c>
      <c r="D4" s="8">
        <v>25.17</v>
      </c>
      <c r="F4" s="8">
        <v>26.01</v>
      </c>
    </row>
    <row r="5" spans="1:31" x14ac:dyDescent="0.35">
      <c r="A5" s="7">
        <v>43469</v>
      </c>
      <c r="B5" s="8">
        <v>23.59</v>
      </c>
      <c r="D5" s="8">
        <v>24.15</v>
      </c>
      <c r="F5" s="8">
        <v>24.77</v>
      </c>
    </row>
    <row r="6" spans="1:31" x14ac:dyDescent="0.35">
      <c r="A6" s="7">
        <v>43470</v>
      </c>
      <c r="B6" s="8">
        <v>23.59</v>
      </c>
      <c r="D6" s="8">
        <v>24.15</v>
      </c>
      <c r="F6" s="8">
        <v>24.77</v>
      </c>
    </row>
    <row r="7" spans="1:31" x14ac:dyDescent="0.35">
      <c r="A7" s="7">
        <v>43471</v>
      </c>
      <c r="B7" s="8">
        <v>23.59</v>
      </c>
      <c r="D7" s="8">
        <v>24.15</v>
      </c>
      <c r="F7" s="8">
        <v>24.77</v>
      </c>
      <c r="O7" s="10"/>
      <c r="P7" s="10"/>
      <c r="Q7" s="10"/>
      <c r="S7" s="10"/>
      <c r="T7" s="10"/>
      <c r="V7" s="10"/>
      <c r="W7" s="10"/>
      <c r="X7" s="10"/>
    </row>
    <row r="8" spans="1:31" x14ac:dyDescent="0.35">
      <c r="A8" s="7">
        <v>43472</v>
      </c>
      <c r="B8" s="8">
        <v>22.64</v>
      </c>
      <c r="D8" s="8">
        <v>23.19</v>
      </c>
      <c r="F8" s="8">
        <v>23.8</v>
      </c>
      <c r="R8" s="10"/>
      <c r="U8" s="10"/>
      <c r="V8" s="10"/>
    </row>
    <row r="9" spans="1:31" x14ac:dyDescent="0.35">
      <c r="A9" s="7">
        <v>43473</v>
      </c>
      <c r="B9" s="8">
        <v>22.74</v>
      </c>
      <c r="D9" s="8">
        <v>23.26</v>
      </c>
      <c r="F9" s="8">
        <v>23.85</v>
      </c>
    </row>
    <row r="10" spans="1:31" x14ac:dyDescent="0.35">
      <c r="A10" s="7">
        <v>43474</v>
      </c>
      <c r="B10" s="8">
        <v>22.51</v>
      </c>
      <c r="D10" s="8">
        <v>22.91</v>
      </c>
      <c r="F10" s="8">
        <v>23.38</v>
      </c>
    </row>
    <row r="11" spans="1:31" x14ac:dyDescent="0.35">
      <c r="A11" s="7">
        <v>43475</v>
      </c>
      <c r="B11" s="8">
        <v>21.85</v>
      </c>
      <c r="D11" s="8">
        <v>22.36</v>
      </c>
      <c r="F11" s="8">
        <v>22.85</v>
      </c>
    </row>
    <row r="12" spans="1:31" x14ac:dyDescent="0.35">
      <c r="A12" s="7">
        <v>43476</v>
      </c>
      <c r="B12" s="8">
        <v>22.54</v>
      </c>
      <c r="D12" s="8">
        <v>23.02</v>
      </c>
      <c r="F12" s="8">
        <v>23.6</v>
      </c>
    </row>
    <row r="13" spans="1:31" x14ac:dyDescent="0.35">
      <c r="A13" s="7">
        <v>43477</v>
      </c>
      <c r="B13" s="8">
        <v>22.54</v>
      </c>
      <c r="D13" s="8">
        <v>23.02</v>
      </c>
      <c r="F13" s="8">
        <v>23.6</v>
      </c>
    </row>
    <row r="14" spans="1:31" x14ac:dyDescent="0.35">
      <c r="A14" s="7">
        <v>43478</v>
      </c>
      <c r="B14" s="8">
        <v>22.54</v>
      </c>
      <c r="D14" s="8">
        <v>23.02</v>
      </c>
      <c r="F14" s="8">
        <v>23.6</v>
      </c>
    </row>
    <row r="15" spans="1:31" x14ac:dyDescent="0.35">
      <c r="A15" s="7">
        <v>43479</v>
      </c>
      <c r="B15" s="8">
        <v>22.2</v>
      </c>
      <c r="D15" s="8">
        <v>22.66</v>
      </c>
      <c r="F15" s="8">
        <v>23.51</v>
      </c>
    </row>
    <row r="16" spans="1:31" x14ac:dyDescent="0.35">
      <c r="A16" s="7">
        <v>43480</v>
      </c>
      <c r="B16" s="8">
        <v>22.68</v>
      </c>
      <c r="D16" s="8">
        <v>23.15</v>
      </c>
      <c r="F16" s="8">
        <v>23.72</v>
      </c>
    </row>
    <row r="17" spans="1:6" x14ac:dyDescent="0.35">
      <c r="A17" s="7">
        <v>43481</v>
      </c>
      <c r="B17" s="8">
        <v>22.97</v>
      </c>
      <c r="D17" s="8">
        <v>23.42</v>
      </c>
      <c r="F17" s="8">
        <v>24.13</v>
      </c>
    </row>
    <row r="18" spans="1:6" x14ac:dyDescent="0.35">
      <c r="A18" s="7">
        <v>43482</v>
      </c>
      <c r="B18" s="8">
        <v>23.78</v>
      </c>
      <c r="D18" s="8">
        <v>24.25</v>
      </c>
      <c r="F18" s="8">
        <v>24.9</v>
      </c>
    </row>
    <row r="19" spans="1:6" x14ac:dyDescent="0.35">
      <c r="A19" s="7">
        <v>43483</v>
      </c>
      <c r="B19" s="8">
        <v>24.38</v>
      </c>
      <c r="D19" s="8">
        <v>24.88</v>
      </c>
      <c r="F19" s="8">
        <v>25.349999999999998</v>
      </c>
    </row>
    <row r="20" spans="1:6" x14ac:dyDescent="0.35">
      <c r="A20" s="7">
        <v>43484</v>
      </c>
      <c r="B20" s="8">
        <v>24.38</v>
      </c>
      <c r="D20" s="8">
        <v>24.88</v>
      </c>
      <c r="F20" s="8">
        <v>25.349999999999998</v>
      </c>
    </row>
    <row r="21" spans="1:6" x14ac:dyDescent="0.35">
      <c r="A21" s="7">
        <v>43485</v>
      </c>
      <c r="B21" s="8">
        <v>24.38</v>
      </c>
      <c r="D21" s="8">
        <v>24.88</v>
      </c>
      <c r="F21" s="8">
        <v>25.349999999999998</v>
      </c>
    </row>
    <row r="22" spans="1:6" x14ac:dyDescent="0.35">
      <c r="A22" s="7">
        <v>43486</v>
      </c>
      <c r="B22" s="8">
        <v>24.36</v>
      </c>
      <c r="D22" s="8">
        <v>24.75</v>
      </c>
      <c r="F22" s="8">
        <v>25.4</v>
      </c>
    </row>
    <row r="23" spans="1:6" x14ac:dyDescent="0.35">
      <c r="A23" s="7">
        <v>43487</v>
      </c>
      <c r="B23" s="8">
        <v>24.91</v>
      </c>
      <c r="D23" s="8">
        <v>25.55</v>
      </c>
      <c r="F23" s="8">
        <v>25.9</v>
      </c>
    </row>
    <row r="24" spans="1:6" x14ac:dyDescent="0.35">
      <c r="A24" s="7">
        <v>43488</v>
      </c>
      <c r="B24" s="8">
        <v>25.04</v>
      </c>
      <c r="D24" s="8">
        <v>25.38</v>
      </c>
      <c r="F24" s="8">
        <v>26.23</v>
      </c>
    </row>
    <row r="25" spans="1:6" x14ac:dyDescent="0.35">
      <c r="A25" s="7">
        <v>43489</v>
      </c>
      <c r="B25" s="8">
        <v>24.45</v>
      </c>
      <c r="D25" s="8">
        <v>24.96</v>
      </c>
      <c r="F25" s="8">
        <v>25.52</v>
      </c>
    </row>
    <row r="26" spans="1:6" x14ac:dyDescent="0.35">
      <c r="A26" s="7">
        <v>43490</v>
      </c>
      <c r="B26" s="8">
        <v>23.7</v>
      </c>
      <c r="D26" s="8">
        <v>24.19</v>
      </c>
      <c r="F26" s="8">
        <v>24.85</v>
      </c>
    </row>
    <row r="27" spans="1:6" x14ac:dyDescent="0.35">
      <c r="A27" s="7">
        <v>43491</v>
      </c>
      <c r="B27" s="8">
        <v>23.7</v>
      </c>
      <c r="D27" s="8">
        <v>24.19</v>
      </c>
      <c r="F27" s="8">
        <v>24.85</v>
      </c>
    </row>
    <row r="28" spans="1:6" x14ac:dyDescent="0.35">
      <c r="A28" s="7">
        <v>43492</v>
      </c>
      <c r="B28" s="8">
        <v>23.7</v>
      </c>
      <c r="D28" s="8">
        <v>24.19</v>
      </c>
      <c r="F28" s="8">
        <v>24.85</v>
      </c>
    </row>
    <row r="29" spans="1:6" x14ac:dyDescent="0.35">
      <c r="A29" s="7">
        <v>43493</v>
      </c>
      <c r="B29" s="8">
        <v>23.18</v>
      </c>
      <c r="D29" s="8">
        <v>23.45</v>
      </c>
      <c r="F29" s="8">
        <v>24.12</v>
      </c>
    </row>
    <row r="30" spans="1:6" x14ac:dyDescent="0.35">
      <c r="A30" s="7">
        <v>43494</v>
      </c>
      <c r="B30" s="8">
        <v>22.81</v>
      </c>
      <c r="D30" s="8">
        <v>23.32</v>
      </c>
      <c r="F30" s="8">
        <v>23.98</v>
      </c>
    </row>
    <row r="31" spans="1:6" x14ac:dyDescent="0.35">
      <c r="A31" s="7">
        <v>43495</v>
      </c>
      <c r="B31" s="8">
        <v>23.08</v>
      </c>
      <c r="D31" s="8">
        <v>23.5</v>
      </c>
      <c r="F31" s="8">
        <v>23.98</v>
      </c>
    </row>
    <row r="32" spans="1:6" x14ac:dyDescent="0.35">
      <c r="A32" s="7">
        <v>43496</v>
      </c>
      <c r="B32" s="8">
        <v>22.45</v>
      </c>
      <c r="D32" s="8">
        <v>22.8</v>
      </c>
      <c r="F32" s="8">
        <v>23.38</v>
      </c>
    </row>
    <row r="33" spans="1:6" x14ac:dyDescent="0.35">
      <c r="A33" s="7">
        <v>43497</v>
      </c>
      <c r="B33" s="8">
        <v>21.86</v>
      </c>
      <c r="D33" s="8">
        <v>22.23</v>
      </c>
      <c r="F33" s="8">
        <v>22.81</v>
      </c>
    </row>
    <row r="34" spans="1:6" x14ac:dyDescent="0.35">
      <c r="A34" s="7">
        <v>43498</v>
      </c>
      <c r="B34" s="8">
        <v>21.86</v>
      </c>
      <c r="D34" s="8">
        <v>22.23</v>
      </c>
      <c r="F34" s="8">
        <v>22.81</v>
      </c>
    </row>
    <row r="35" spans="1:6" x14ac:dyDescent="0.35">
      <c r="A35" s="7">
        <v>43499</v>
      </c>
      <c r="B35" s="8">
        <v>21.86</v>
      </c>
      <c r="D35" s="8">
        <v>22.23</v>
      </c>
      <c r="F35" s="8">
        <v>22.81</v>
      </c>
    </row>
    <row r="36" spans="1:6" x14ac:dyDescent="0.35">
      <c r="A36" s="7">
        <v>43500</v>
      </c>
      <c r="B36" s="8">
        <v>21.98</v>
      </c>
      <c r="D36" s="8">
        <v>22.49</v>
      </c>
      <c r="F36" s="8">
        <v>22.57</v>
      </c>
    </row>
    <row r="37" spans="1:6" x14ac:dyDescent="0.35">
      <c r="A37" s="7">
        <v>43501</v>
      </c>
      <c r="B37" s="8">
        <v>23.13</v>
      </c>
      <c r="D37" s="8">
        <v>23.6</v>
      </c>
      <c r="F37" s="8">
        <v>24.2</v>
      </c>
    </row>
    <row r="38" spans="1:6" x14ac:dyDescent="0.35">
      <c r="A38" s="7">
        <v>43502</v>
      </c>
      <c r="B38" s="8">
        <v>23.67</v>
      </c>
      <c r="D38" s="8">
        <v>24.15</v>
      </c>
      <c r="F38" s="8">
        <v>24.8</v>
      </c>
    </row>
    <row r="39" spans="1:6" x14ac:dyDescent="0.35">
      <c r="A39" s="7">
        <v>43503</v>
      </c>
      <c r="B39" s="8">
        <v>23.68</v>
      </c>
      <c r="D39" s="8">
        <v>24.08</v>
      </c>
      <c r="F39" s="8">
        <v>24.36</v>
      </c>
    </row>
    <row r="40" spans="1:6" x14ac:dyDescent="0.35">
      <c r="A40" s="7">
        <v>43504</v>
      </c>
      <c r="B40" s="8">
        <v>23.05</v>
      </c>
      <c r="D40" s="8">
        <v>23.48</v>
      </c>
      <c r="F40" s="8">
        <v>23.73</v>
      </c>
    </row>
    <row r="41" spans="1:6" x14ac:dyDescent="0.35">
      <c r="A41" s="7">
        <v>43505</v>
      </c>
      <c r="B41" s="8">
        <f>+B40</f>
        <v>23.05</v>
      </c>
      <c r="D41" s="8">
        <f>+D40</f>
        <v>23.48</v>
      </c>
      <c r="F41" s="8">
        <f>+F40</f>
        <v>23.73</v>
      </c>
    </row>
    <row r="42" spans="1:6" x14ac:dyDescent="0.35">
      <c r="A42" s="7">
        <v>43506</v>
      </c>
      <c r="B42" s="8">
        <f>+B41</f>
        <v>23.05</v>
      </c>
      <c r="D42" s="8">
        <f>+D41</f>
        <v>23.48</v>
      </c>
      <c r="F42" s="8">
        <f>+F41</f>
        <v>23.73</v>
      </c>
    </row>
    <row r="43" spans="1:6" x14ac:dyDescent="0.35">
      <c r="A43" s="7">
        <v>43507</v>
      </c>
      <c r="B43" s="8">
        <v>21.92</v>
      </c>
      <c r="D43" s="8">
        <v>22.36</v>
      </c>
      <c r="F43" s="8">
        <v>22.89</v>
      </c>
    </row>
    <row r="44" spans="1:6" x14ac:dyDescent="0.35">
      <c r="A44" s="7">
        <v>43508</v>
      </c>
      <c r="B44" s="8">
        <v>21.6</v>
      </c>
      <c r="D44" s="8">
        <v>22.05</v>
      </c>
      <c r="F44" s="8">
        <v>22.41</v>
      </c>
    </row>
    <row r="45" spans="1:6" x14ac:dyDescent="0.35">
      <c r="A45" s="7">
        <v>43509</v>
      </c>
      <c r="B45" s="8">
        <v>20.32</v>
      </c>
      <c r="D45" s="8">
        <v>20.66</v>
      </c>
      <c r="F45" s="8">
        <v>21.32</v>
      </c>
    </row>
    <row r="46" spans="1:6" x14ac:dyDescent="0.35">
      <c r="A46" s="7">
        <v>43510</v>
      </c>
      <c r="B46" s="8">
        <v>20.46</v>
      </c>
      <c r="D46" s="8">
        <v>20.79</v>
      </c>
      <c r="F46" s="8">
        <v>21.78</v>
      </c>
    </row>
    <row r="47" spans="1:6" x14ac:dyDescent="0.35">
      <c r="A47" s="7">
        <v>43511</v>
      </c>
      <c r="B47" s="8">
        <v>20.420000000000002</v>
      </c>
      <c r="D47" s="8">
        <v>20.84</v>
      </c>
      <c r="F47" s="8">
        <v>21.39</v>
      </c>
    </row>
    <row r="48" spans="1:6" x14ac:dyDescent="0.35">
      <c r="A48" s="7">
        <v>43512</v>
      </c>
      <c r="B48" s="8">
        <f>+B47</f>
        <v>20.420000000000002</v>
      </c>
      <c r="D48" s="8">
        <f>+D47</f>
        <v>20.84</v>
      </c>
      <c r="F48" s="8">
        <f>+F47</f>
        <v>21.39</v>
      </c>
    </row>
    <row r="49" spans="1:6" x14ac:dyDescent="0.35">
      <c r="A49" s="7">
        <v>43513</v>
      </c>
      <c r="B49" s="8">
        <f>+B48</f>
        <v>20.420000000000002</v>
      </c>
      <c r="D49" s="8">
        <f>+D48</f>
        <v>20.84</v>
      </c>
      <c r="F49" s="8">
        <f>+F48</f>
        <v>21.39</v>
      </c>
    </row>
    <row r="50" spans="1:6" x14ac:dyDescent="0.35">
      <c r="A50" s="7">
        <v>43514</v>
      </c>
      <c r="B50" s="8">
        <v>20.149999999999999</v>
      </c>
      <c r="D50" s="8">
        <v>20.48</v>
      </c>
      <c r="F50" s="8">
        <v>21.05</v>
      </c>
    </row>
    <row r="51" spans="1:6" x14ac:dyDescent="0.35">
      <c r="A51" s="7">
        <v>43515</v>
      </c>
      <c r="B51" s="8">
        <v>20.260000000000002</v>
      </c>
      <c r="D51" s="8">
        <v>20.73</v>
      </c>
      <c r="F51" s="8">
        <v>21.18</v>
      </c>
    </row>
    <row r="52" spans="1:6" x14ac:dyDescent="0.35">
      <c r="A52" s="7">
        <v>43516</v>
      </c>
      <c r="B52" s="8">
        <v>20.28</v>
      </c>
      <c r="D52" s="8">
        <v>20.7</v>
      </c>
      <c r="F52" s="8">
        <v>21.26</v>
      </c>
    </row>
    <row r="53" spans="1:6" x14ac:dyDescent="0.35">
      <c r="A53" s="7">
        <v>43517</v>
      </c>
      <c r="B53" s="8">
        <v>19.510000000000002</v>
      </c>
      <c r="D53" s="8">
        <v>20.12</v>
      </c>
      <c r="F53" s="8">
        <v>20.16</v>
      </c>
    </row>
    <row r="54" spans="1:6" x14ac:dyDescent="0.35">
      <c r="A54" s="7">
        <v>43518</v>
      </c>
      <c r="B54" s="8">
        <v>18.739999999999998</v>
      </c>
      <c r="D54" s="8">
        <v>19.09</v>
      </c>
      <c r="F54" s="8">
        <v>19.54</v>
      </c>
    </row>
    <row r="55" spans="1:6" x14ac:dyDescent="0.35">
      <c r="A55" s="7">
        <v>43519</v>
      </c>
      <c r="B55" s="8">
        <f t="shared" ref="B55:F56" si="0">+B54</f>
        <v>18.739999999999998</v>
      </c>
      <c r="D55" s="8">
        <f t="shared" si="0"/>
        <v>19.09</v>
      </c>
      <c r="F55" s="8">
        <f t="shared" si="0"/>
        <v>19.54</v>
      </c>
    </row>
    <row r="56" spans="1:6" x14ac:dyDescent="0.35">
      <c r="A56" s="7">
        <v>43520</v>
      </c>
      <c r="B56" s="8">
        <f t="shared" si="0"/>
        <v>18.739999999999998</v>
      </c>
      <c r="D56" s="8">
        <f t="shared" si="0"/>
        <v>19.09</v>
      </c>
      <c r="F56" s="8">
        <f t="shared" si="0"/>
        <v>19.54</v>
      </c>
    </row>
    <row r="57" spans="1:6" x14ac:dyDescent="0.35">
      <c r="A57" s="7">
        <v>43521</v>
      </c>
      <c r="B57" s="8">
        <v>18.95</v>
      </c>
      <c r="D57" s="8">
        <v>19.34</v>
      </c>
      <c r="F57" s="8">
        <v>19.91</v>
      </c>
    </row>
    <row r="58" spans="1:6" x14ac:dyDescent="0.35">
      <c r="A58" s="7">
        <v>43522</v>
      </c>
      <c r="B58" s="8">
        <v>19.62</v>
      </c>
      <c r="D58" s="8">
        <v>19.98</v>
      </c>
      <c r="F58" s="8">
        <v>20.440000000000001</v>
      </c>
    </row>
    <row r="59" spans="1:6" x14ac:dyDescent="0.35">
      <c r="A59" s="7">
        <v>43523</v>
      </c>
      <c r="B59" s="8">
        <v>20.64</v>
      </c>
      <c r="D59" s="8">
        <v>20.95</v>
      </c>
      <c r="F59" s="8">
        <v>21.5</v>
      </c>
    </row>
    <row r="60" spans="1:6" x14ac:dyDescent="0.35">
      <c r="A60" s="7">
        <v>43524</v>
      </c>
      <c r="B60" s="8">
        <v>21.42</v>
      </c>
      <c r="D60" s="8">
        <v>21.66</v>
      </c>
      <c r="F60" s="8">
        <v>22.23</v>
      </c>
    </row>
    <row r="61" spans="1:6" x14ac:dyDescent="0.35">
      <c r="A61" s="7">
        <v>43525</v>
      </c>
      <c r="B61" s="8">
        <v>21.78</v>
      </c>
      <c r="D61" s="8">
        <v>22.05</v>
      </c>
      <c r="F61" s="8">
        <v>22.5</v>
      </c>
    </row>
    <row r="62" spans="1:6" x14ac:dyDescent="0.35">
      <c r="A62" s="7">
        <v>43526</v>
      </c>
      <c r="B62" s="8">
        <f t="shared" ref="B62:F63" si="1">+B61</f>
        <v>21.78</v>
      </c>
      <c r="D62" s="8">
        <f t="shared" si="1"/>
        <v>22.05</v>
      </c>
      <c r="F62" s="8">
        <f t="shared" si="1"/>
        <v>22.5</v>
      </c>
    </row>
    <row r="63" spans="1:6" x14ac:dyDescent="0.35">
      <c r="A63" s="7">
        <v>43527</v>
      </c>
      <c r="B63" s="8">
        <f t="shared" si="1"/>
        <v>21.78</v>
      </c>
      <c r="D63" s="8">
        <f t="shared" si="1"/>
        <v>22.05</v>
      </c>
      <c r="F63" s="8">
        <f t="shared" si="1"/>
        <v>22.5</v>
      </c>
    </row>
    <row r="64" spans="1:6" x14ac:dyDescent="0.35">
      <c r="A64" s="7">
        <v>43528</v>
      </c>
      <c r="B64" s="8">
        <v>22.65</v>
      </c>
      <c r="D64" s="8">
        <v>23.15</v>
      </c>
      <c r="F64" s="8">
        <v>24.06</v>
      </c>
    </row>
    <row r="65" spans="1:8" x14ac:dyDescent="0.35">
      <c r="A65" s="7">
        <v>43529</v>
      </c>
      <c r="B65" s="8">
        <v>23.05</v>
      </c>
      <c r="D65" s="8">
        <v>23.45</v>
      </c>
      <c r="F65" s="8">
        <v>23.89</v>
      </c>
    </row>
    <row r="66" spans="1:8" x14ac:dyDescent="0.35">
      <c r="A66" s="7">
        <v>43530</v>
      </c>
      <c r="B66" s="8">
        <v>22.71</v>
      </c>
      <c r="D66" s="8">
        <v>23.11</v>
      </c>
      <c r="F66" s="8">
        <v>23.52</v>
      </c>
    </row>
    <row r="67" spans="1:8" x14ac:dyDescent="0.35">
      <c r="A67" s="7">
        <v>43531</v>
      </c>
      <c r="B67" s="8">
        <v>22.93</v>
      </c>
      <c r="D67" s="8">
        <v>23.27</v>
      </c>
      <c r="F67" s="8">
        <v>23.75</v>
      </c>
    </row>
    <row r="68" spans="1:8" x14ac:dyDescent="0.35">
      <c r="A68" s="7">
        <v>43532</v>
      </c>
      <c r="B68" s="8">
        <v>23.09</v>
      </c>
      <c r="D68" s="8">
        <v>23.44</v>
      </c>
      <c r="F68" s="8">
        <v>23.96</v>
      </c>
      <c r="H68" s="8">
        <v>24.54</v>
      </c>
    </row>
    <row r="69" spans="1:8" x14ac:dyDescent="0.35">
      <c r="A69" s="7">
        <v>43533</v>
      </c>
      <c r="B69" s="8">
        <v>23.09</v>
      </c>
      <c r="D69" s="8">
        <v>23.44</v>
      </c>
      <c r="F69" s="8">
        <v>23.96</v>
      </c>
      <c r="H69" s="8">
        <v>24.54</v>
      </c>
    </row>
    <row r="70" spans="1:8" x14ac:dyDescent="0.35">
      <c r="A70" s="7">
        <v>43534</v>
      </c>
      <c r="B70" s="8">
        <v>23.09</v>
      </c>
      <c r="D70" s="8">
        <v>23.44</v>
      </c>
      <c r="F70" s="8">
        <v>23.96</v>
      </c>
      <c r="H70" s="8">
        <v>24.54</v>
      </c>
    </row>
    <row r="71" spans="1:8" x14ac:dyDescent="0.35">
      <c r="A71" s="7">
        <v>43535</v>
      </c>
      <c r="B71" s="8">
        <v>22.53</v>
      </c>
      <c r="D71" s="8">
        <v>22.91</v>
      </c>
      <c r="F71" s="8">
        <v>23.35</v>
      </c>
      <c r="H71" s="8">
        <v>23.75</v>
      </c>
    </row>
    <row r="72" spans="1:8" x14ac:dyDescent="0.35">
      <c r="A72" s="7">
        <v>43536</v>
      </c>
      <c r="B72" s="8">
        <v>22.67</v>
      </c>
      <c r="D72" s="8">
        <v>23.08</v>
      </c>
      <c r="F72" s="8">
        <v>23.43</v>
      </c>
    </row>
    <row r="73" spans="1:8" x14ac:dyDescent="0.35">
      <c r="A73" s="7">
        <v>43537</v>
      </c>
      <c r="B73" s="8">
        <v>22.22</v>
      </c>
      <c r="D73" s="8">
        <v>22.63</v>
      </c>
      <c r="F73" s="8">
        <v>23.06</v>
      </c>
      <c r="H73" s="8">
        <v>23.52</v>
      </c>
    </row>
    <row r="74" spans="1:8" x14ac:dyDescent="0.35">
      <c r="A74" s="7">
        <v>43538</v>
      </c>
      <c r="B74" s="8">
        <v>22.58</v>
      </c>
      <c r="D74" s="8">
        <v>22.98</v>
      </c>
      <c r="F74" s="8">
        <v>23.41</v>
      </c>
    </row>
    <row r="75" spans="1:8" x14ac:dyDescent="0.35">
      <c r="A75" s="7">
        <v>43539</v>
      </c>
      <c r="B75" s="8">
        <v>22.68</v>
      </c>
      <c r="D75" s="8">
        <v>23.06</v>
      </c>
      <c r="F75" s="8">
        <v>23.57</v>
      </c>
      <c r="H75" s="8">
        <v>24.28</v>
      </c>
    </row>
    <row r="76" spans="1:8" x14ac:dyDescent="0.35">
      <c r="A76" s="7">
        <v>43540</v>
      </c>
      <c r="B76" s="8">
        <v>22.68</v>
      </c>
      <c r="D76" s="8">
        <v>23.06</v>
      </c>
      <c r="F76" s="8">
        <v>23.57</v>
      </c>
      <c r="H76" s="8">
        <v>24.28</v>
      </c>
    </row>
    <row r="77" spans="1:8" x14ac:dyDescent="0.35">
      <c r="A77" s="7">
        <v>43541</v>
      </c>
      <c r="B77" s="8">
        <v>22.68</v>
      </c>
      <c r="D77" s="8">
        <v>23.06</v>
      </c>
      <c r="F77" s="8">
        <v>23.57</v>
      </c>
      <c r="H77" s="8">
        <v>24.28</v>
      </c>
    </row>
    <row r="78" spans="1:8" x14ac:dyDescent="0.35">
      <c r="A78" s="7">
        <v>43542</v>
      </c>
      <c r="B78" s="8">
        <v>21.62</v>
      </c>
      <c r="D78" s="8">
        <v>21.97</v>
      </c>
      <c r="F78" s="8">
        <v>22.54</v>
      </c>
    </row>
    <row r="79" spans="1:8" x14ac:dyDescent="0.35">
      <c r="A79" s="7">
        <v>43543</v>
      </c>
      <c r="B79" s="8">
        <v>21.54</v>
      </c>
      <c r="D79" s="8">
        <v>21.94</v>
      </c>
      <c r="F79" s="8">
        <v>22.37</v>
      </c>
    </row>
    <row r="80" spans="1:8" x14ac:dyDescent="0.35">
      <c r="A80" s="7">
        <v>43544</v>
      </c>
      <c r="B80" s="8">
        <v>21.22</v>
      </c>
      <c r="D80" s="8">
        <v>21.55</v>
      </c>
      <c r="F80" s="8">
        <v>22.1</v>
      </c>
      <c r="H80" s="8">
        <v>22.94</v>
      </c>
    </row>
    <row r="81" spans="1:8" x14ac:dyDescent="0.35">
      <c r="A81" s="7">
        <v>43545</v>
      </c>
      <c r="B81" s="8">
        <v>21.31</v>
      </c>
      <c r="D81" s="8">
        <v>21.66</v>
      </c>
      <c r="F81" s="8">
        <v>22.16</v>
      </c>
      <c r="H81" s="8">
        <v>22.85</v>
      </c>
    </row>
    <row r="82" spans="1:8" x14ac:dyDescent="0.35">
      <c r="A82" s="7">
        <v>43546</v>
      </c>
      <c r="B82" s="8">
        <v>20.85</v>
      </c>
      <c r="D82" s="8">
        <v>21.13</v>
      </c>
      <c r="F82" s="8">
        <v>21.56</v>
      </c>
      <c r="H82" s="8">
        <v>22.05</v>
      </c>
    </row>
    <row r="83" spans="1:8" x14ac:dyDescent="0.35">
      <c r="A83" s="7">
        <v>43547</v>
      </c>
      <c r="B83" s="8">
        <v>20.85</v>
      </c>
      <c r="D83" s="8">
        <v>21.13</v>
      </c>
      <c r="F83" s="8">
        <v>21.56</v>
      </c>
      <c r="H83" s="8">
        <v>22.05</v>
      </c>
    </row>
    <row r="84" spans="1:8" x14ac:dyDescent="0.35">
      <c r="A84" s="7">
        <v>43548</v>
      </c>
      <c r="B84" s="8">
        <v>20.85</v>
      </c>
      <c r="D84" s="8">
        <v>21.13</v>
      </c>
      <c r="F84" s="8">
        <v>21.56</v>
      </c>
      <c r="H84" s="8">
        <v>22.05</v>
      </c>
    </row>
    <row r="85" spans="1:8" x14ac:dyDescent="0.35">
      <c r="A85" s="7">
        <v>43549</v>
      </c>
      <c r="B85" s="8">
        <v>20.94</v>
      </c>
      <c r="D85" s="8">
        <v>21.26</v>
      </c>
      <c r="F85" s="8">
        <v>21.7</v>
      </c>
      <c r="H85" s="8">
        <v>22.23</v>
      </c>
    </row>
    <row r="86" spans="1:8" x14ac:dyDescent="0.35">
      <c r="A86" s="7">
        <v>43550</v>
      </c>
      <c r="B86" s="8">
        <v>21.31</v>
      </c>
      <c r="D86" s="8">
        <v>21.66</v>
      </c>
      <c r="F86" s="8">
        <v>22.06</v>
      </c>
    </row>
    <row r="87" spans="1:8" x14ac:dyDescent="0.35">
      <c r="A87" s="7">
        <v>43551</v>
      </c>
      <c r="B87" s="8">
        <v>21.81</v>
      </c>
      <c r="D87" s="8">
        <v>22.11</v>
      </c>
      <c r="F87" s="8">
        <v>22.56</v>
      </c>
      <c r="H87" s="8">
        <v>23.22</v>
      </c>
    </row>
    <row r="88" spans="1:8" x14ac:dyDescent="0.35">
      <c r="A88" s="7">
        <v>43552</v>
      </c>
      <c r="B88" s="8">
        <v>22.09</v>
      </c>
      <c r="D88" s="8">
        <v>22.32</v>
      </c>
      <c r="F88" s="8">
        <v>22.94</v>
      </c>
      <c r="H88" s="8">
        <v>23.63</v>
      </c>
    </row>
    <row r="89" spans="1:8" x14ac:dyDescent="0.35">
      <c r="A89" s="7">
        <v>43553</v>
      </c>
      <c r="B89" s="8">
        <v>21.9</v>
      </c>
      <c r="D89" s="8">
        <v>22.29</v>
      </c>
      <c r="F89" s="8">
        <v>22.79</v>
      </c>
      <c r="H89" s="8">
        <v>22.88</v>
      </c>
    </row>
    <row r="90" spans="1:8" x14ac:dyDescent="0.35">
      <c r="A90" s="7">
        <v>43554</v>
      </c>
      <c r="B90" s="8">
        <v>21.9</v>
      </c>
      <c r="D90" s="8">
        <v>22.29</v>
      </c>
      <c r="F90" s="8">
        <v>22.79</v>
      </c>
      <c r="H90" s="8">
        <v>22.88</v>
      </c>
    </row>
    <row r="91" spans="1:8" x14ac:dyDescent="0.35">
      <c r="A91" s="7">
        <v>43555</v>
      </c>
      <c r="B91" s="8">
        <v>21.9</v>
      </c>
      <c r="D91" s="8">
        <v>22.29</v>
      </c>
      <c r="F91" s="8">
        <v>22.79</v>
      </c>
      <c r="H91" s="8">
        <v>22.88</v>
      </c>
    </row>
    <row r="92" spans="1:8" x14ac:dyDescent="0.35">
      <c r="A92" s="7">
        <v>43556</v>
      </c>
      <c r="B92" s="8">
        <v>21.39</v>
      </c>
      <c r="D92" s="8">
        <v>21.66</v>
      </c>
      <c r="F92" s="8">
        <v>21.93</v>
      </c>
      <c r="H92" s="8">
        <v>22.64</v>
      </c>
    </row>
    <row r="93" spans="1:8" x14ac:dyDescent="0.35">
      <c r="A93" s="7">
        <v>43557</v>
      </c>
      <c r="B93" s="8">
        <v>21.71</v>
      </c>
      <c r="D93" s="8">
        <v>22.04</v>
      </c>
      <c r="F93" s="8">
        <v>22.54</v>
      </c>
    </row>
    <row r="94" spans="1:8" x14ac:dyDescent="0.35">
      <c r="A94" s="7">
        <v>43558</v>
      </c>
      <c r="B94" s="8">
        <v>22.85</v>
      </c>
      <c r="D94" s="8">
        <v>23.15</v>
      </c>
      <c r="F94" s="8">
        <v>23.57</v>
      </c>
      <c r="H94" s="8">
        <v>24.08</v>
      </c>
    </row>
    <row r="95" spans="1:8" x14ac:dyDescent="0.35">
      <c r="A95" s="7">
        <v>43559</v>
      </c>
      <c r="B95" s="8">
        <v>23.96</v>
      </c>
      <c r="D95" s="8">
        <v>24.16</v>
      </c>
      <c r="F95" s="8">
        <v>24.74</v>
      </c>
      <c r="H95" s="8">
        <v>25.51</v>
      </c>
    </row>
    <row r="96" spans="1:8" x14ac:dyDescent="0.35">
      <c r="A96" s="7">
        <v>43560</v>
      </c>
      <c r="B96" s="8">
        <v>24.55</v>
      </c>
      <c r="D96" s="8">
        <v>24.82</v>
      </c>
      <c r="F96" s="8">
        <v>25.05</v>
      </c>
      <c r="H96" s="8">
        <v>25.6</v>
      </c>
    </row>
    <row r="97" spans="1:8" x14ac:dyDescent="0.35">
      <c r="A97" s="7">
        <v>43561</v>
      </c>
      <c r="B97" s="8">
        <v>24.55</v>
      </c>
      <c r="D97" s="8">
        <v>24.82</v>
      </c>
      <c r="F97" s="8">
        <v>25.05</v>
      </c>
      <c r="H97" s="8">
        <v>25.6</v>
      </c>
    </row>
    <row r="98" spans="1:8" x14ac:dyDescent="0.35">
      <c r="A98" s="7">
        <v>43562</v>
      </c>
      <c r="B98" s="8">
        <v>24.55</v>
      </c>
      <c r="D98" s="8">
        <v>24.82</v>
      </c>
      <c r="F98" s="8">
        <v>25.05</v>
      </c>
      <c r="H98" s="8">
        <v>25.6</v>
      </c>
    </row>
    <row r="99" spans="1:8" x14ac:dyDescent="0.35">
      <c r="A99" s="7">
        <v>43563</v>
      </c>
      <c r="B99" s="8">
        <v>24.21</v>
      </c>
      <c r="D99" s="8">
        <v>24.37</v>
      </c>
      <c r="F99" s="8">
        <v>24.88</v>
      </c>
      <c r="H99" s="8">
        <v>25.99</v>
      </c>
    </row>
    <row r="100" spans="1:8" x14ac:dyDescent="0.35">
      <c r="A100" s="7">
        <v>43564</v>
      </c>
      <c r="B100" s="8">
        <v>25.15</v>
      </c>
      <c r="D100" s="8">
        <v>25.36</v>
      </c>
      <c r="F100" s="8">
        <v>26</v>
      </c>
      <c r="H100" s="8">
        <v>26.87</v>
      </c>
    </row>
    <row r="101" spans="1:8" x14ac:dyDescent="0.35">
      <c r="A101" s="7">
        <v>43565</v>
      </c>
      <c r="B101" s="8">
        <v>26.44</v>
      </c>
      <c r="D101" s="8">
        <v>26.75</v>
      </c>
      <c r="F101" s="8">
        <v>27.34</v>
      </c>
      <c r="H101" s="8">
        <v>27.54</v>
      </c>
    </row>
    <row r="102" spans="1:8" x14ac:dyDescent="0.35">
      <c r="A102" s="7">
        <v>43566</v>
      </c>
      <c r="B102" s="8">
        <v>26.5</v>
      </c>
      <c r="D102" s="8">
        <v>26.86</v>
      </c>
      <c r="F102" s="8">
        <v>27.36</v>
      </c>
      <c r="H102" s="8">
        <v>27.84</v>
      </c>
    </row>
    <row r="103" spans="1:8" x14ac:dyDescent="0.35">
      <c r="A103" s="7">
        <v>43567</v>
      </c>
      <c r="B103" s="8">
        <v>26.9</v>
      </c>
      <c r="D103" s="8">
        <v>27.17</v>
      </c>
      <c r="F103" s="8">
        <v>27.63</v>
      </c>
      <c r="H103" s="8">
        <v>27.91</v>
      </c>
    </row>
    <row r="104" spans="1:8" x14ac:dyDescent="0.35">
      <c r="A104" s="7">
        <v>43568</v>
      </c>
      <c r="B104" s="8">
        <v>26.9</v>
      </c>
      <c r="D104" s="8">
        <v>27.17</v>
      </c>
      <c r="F104" s="8">
        <v>27.63</v>
      </c>
      <c r="H104" s="8">
        <v>27.91</v>
      </c>
    </row>
    <row r="105" spans="1:8" x14ac:dyDescent="0.35">
      <c r="A105" s="7">
        <v>43569</v>
      </c>
      <c r="B105" s="8">
        <v>26.9</v>
      </c>
      <c r="D105" s="8">
        <v>27.17</v>
      </c>
      <c r="F105" s="8">
        <v>27.63</v>
      </c>
      <c r="H105" s="8">
        <v>27.91</v>
      </c>
    </row>
    <row r="106" spans="1:8" x14ac:dyDescent="0.35">
      <c r="A106" s="7">
        <v>43570</v>
      </c>
      <c r="B106" s="8">
        <v>26.82</v>
      </c>
      <c r="D106" s="8">
        <v>27.24</v>
      </c>
      <c r="F106" s="8">
        <v>27.77</v>
      </c>
      <c r="H106" s="8">
        <v>28.28</v>
      </c>
    </row>
    <row r="107" spans="1:8" x14ac:dyDescent="0.35">
      <c r="A107" s="7">
        <v>43571</v>
      </c>
      <c r="B107" s="8">
        <v>26.72</v>
      </c>
      <c r="D107" s="8">
        <v>27.02</v>
      </c>
      <c r="F107" s="8">
        <v>27.63</v>
      </c>
      <c r="H107" s="8">
        <v>27.93</v>
      </c>
    </row>
    <row r="108" spans="1:8" x14ac:dyDescent="0.35">
      <c r="A108" s="7">
        <v>43572</v>
      </c>
      <c r="B108" s="8">
        <v>27.51</v>
      </c>
      <c r="D108" s="8">
        <v>27.8</v>
      </c>
      <c r="F108" s="8">
        <v>28.19</v>
      </c>
    </row>
    <row r="109" spans="1:8" x14ac:dyDescent="0.35">
      <c r="A109" s="7">
        <v>43573</v>
      </c>
      <c r="B109" s="8">
        <v>27.07</v>
      </c>
      <c r="D109" s="8">
        <v>27.38</v>
      </c>
      <c r="F109" s="8">
        <v>27.82</v>
      </c>
    </row>
    <row r="110" spans="1:8" x14ac:dyDescent="0.35">
      <c r="A110" s="7">
        <v>43574</v>
      </c>
      <c r="B110" s="8">
        <v>27.07</v>
      </c>
      <c r="D110" s="8">
        <v>27.38</v>
      </c>
      <c r="F110" s="8">
        <v>27.82</v>
      </c>
    </row>
    <row r="111" spans="1:8" x14ac:dyDescent="0.35">
      <c r="A111" s="7">
        <v>43575</v>
      </c>
      <c r="B111" s="8">
        <v>27.07</v>
      </c>
      <c r="D111" s="8">
        <v>27.38</v>
      </c>
      <c r="F111" s="8">
        <v>27.82</v>
      </c>
    </row>
    <row r="112" spans="1:8" x14ac:dyDescent="0.35">
      <c r="A112" s="7">
        <v>43576</v>
      </c>
      <c r="B112" s="8">
        <v>27.07</v>
      </c>
      <c r="D112" s="8">
        <v>27.38</v>
      </c>
      <c r="F112" s="8">
        <v>27.82</v>
      </c>
    </row>
    <row r="113" spans="1:14" x14ac:dyDescent="0.35">
      <c r="A113" s="7">
        <v>43577</v>
      </c>
      <c r="B113" s="8">
        <v>27.07</v>
      </c>
      <c r="D113" s="8">
        <v>27.38</v>
      </c>
      <c r="F113" s="8">
        <v>27.82</v>
      </c>
    </row>
    <row r="114" spans="1:14" x14ac:dyDescent="0.35">
      <c r="A114" s="7">
        <v>43578</v>
      </c>
      <c r="B114" s="8">
        <v>27.31</v>
      </c>
      <c r="D114" s="8">
        <v>27.61</v>
      </c>
      <c r="F114" s="8">
        <v>28.24</v>
      </c>
    </row>
    <row r="115" spans="1:14" x14ac:dyDescent="0.35">
      <c r="A115" s="7">
        <v>43579</v>
      </c>
      <c r="B115" s="8">
        <v>27.16</v>
      </c>
      <c r="D115" s="8">
        <v>27.48</v>
      </c>
      <c r="F115" s="8">
        <v>27.85</v>
      </c>
    </row>
    <row r="116" spans="1:14" x14ac:dyDescent="0.35">
      <c r="A116" s="7">
        <v>43580</v>
      </c>
      <c r="B116" s="8">
        <v>27.3</v>
      </c>
      <c r="D116" s="8">
        <v>27.52</v>
      </c>
      <c r="F116" s="8">
        <v>27.84</v>
      </c>
    </row>
    <row r="117" spans="1:14" x14ac:dyDescent="0.35">
      <c r="A117" s="7">
        <v>43581</v>
      </c>
      <c r="B117" s="8">
        <v>26.34</v>
      </c>
      <c r="D117" s="8">
        <v>26.81</v>
      </c>
      <c r="F117" s="8">
        <v>27.02</v>
      </c>
    </row>
    <row r="118" spans="1:14" x14ac:dyDescent="0.35">
      <c r="A118" s="7">
        <v>43582</v>
      </c>
      <c r="B118" s="8">
        <v>26.34</v>
      </c>
      <c r="D118" s="8">
        <v>26.81</v>
      </c>
      <c r="F118" s="8">
        <v>27.02</v>
      </c>
    </row>
    <row r="119" spans="1:14" x14ac:dyDescent="0.35">
      <c r="A119" s="7">
        <v>43583</v>
      </c>
      <c r="B119" s="8">
        <v>26.34</v>
      </c>
      <c r="D119" s="8">
        <v>26.81</v>
      </c>
      <c r="F119" s="8">
        <v>27.02</v>
      </c>
    </row>
    <row r="120" spans="1:14" x14ac:dyDescent="0.35">
      <c r="A120" s="7">
        <v>43584</v>
      </c>
      <c r="B120" s="8">
        <v>26.21</v>
      </c>
      <c r="D120" s="8">
        <v>26.5</v>
      </c>
      <c r="F120" s="8">
        <v>26.95</v>
      </c>
    </row>
    <row r="121" spans="1:14" x14ac:dyDescent="0.35">
      <c r="A121" s="7">
        <v>43585</v>
      </c>
      <c r="B121" s="8">
        <v>25.93</v>
      </c>
      <c r="D121" s="8">
        <v>26.22</v>
      </c>
      <c r="F121" s="8">
        <v>26.4</v>
      </c>
    </row>
    <row r="122" spans="1:14" x14ac:dyDescent="0.35">
      <c r="A122" s="7">
        <v>43586</v>
      </c>
      <c r="B122" s="8">
        <v>25.93</v>
      </c>
      <c r="D122" s="8">
        <v>26.22</v>
      </c>
      <c r="F122" s="8">
        <v>26.4</v>
      </c>
    </row>
    <row r="123" spans="1:14" x14ac:dyDescent="0.35">
      <c r="A123" s="7">
        <v>43587</v>
      </c>
      <c r="B123" s="8">
        <v>24.79</v>
      </c>
      <c r="D123" s="8">
        <v>25.07</v>
      </c>
      <c r="F123" s="8">
        <v>25.4</v>
      </c>
      <c r="H123" s="8">
        <v>25.89</v>
      </c>
    </row>
    <row r="124" spans="1:14" x14ac:dyDescent="0.35">
      <c r="A124" s="7">
        <v>43588</v>
      </c>
      <c r="B124" s="8">
        <v>24.79</v>
      </c>
      <c r="D124" s="8">
        <v>25.07</v>
      </c>
      <c r="F124" s="8">
        <v>25.4</v>
      </c>
      <c r="H124" s="8">
        <v>25.89</v>
      </c>
    </row>
    <row r="125" spans="1:14" x14ac:dyDescent="0.35">
      <c r="A125" s="7">
        <v>43589</v>
      </c>
      <c r="B125" s="8">
        <v>24.79</v>
      </c>
      <c r="D125" s="8">
        <v>25.07</v>
      </c>
      <c r="F125" s="8">
        <v>25.4</v>
      </c>
      <c r="H125" s="8">
        <v>25.89</v>
      </c>
    </row>
    <row r="126" spans="1:14" x14ac:dyDescent="0.35">
      <c r="A126" s="7">
        <v>43590</v>
      </c>
      <c r="B126" s="8">
        <v>24.79</v>
      </c>
      <c r="D126" s="8">
        <v>25.07</v>
      </c>
      <c r="F126" s="8">
        <v>25.4</v>
      </c>
      <c r="H126" s="8">
        <v>25.89</v>
      </c>
    </row>
    <row r="127" spans="1:14" x14ac:dyDescent="0.35">
      <c r="A127" s="7">
        <v>43591</v>
      </c>
      <c r="B127" s="8">
        <v>25.21</v>
      </c>
      <c r="D127" s="8">
        <v>25.63</v>
      </c>
      <c r="F127" s="11">
        <v>25.98</v>
      </c>
      <c r="N127" s="11"/>
    </row>
    <row r="128" spans="1:14" x14ac:dyDescent="0.35">
      <c r="A128" s="7">
        <v>43592</v>
      </c>
      <c r="B128" s="8">
        <v>25.97</v>
      </c>
      <c r="D128" s="8">
        <v>26.41</v>
      </c>
      <c r="F128" s="8">
        <v>26.46</v>
      </c>
      <c r="H128" s="8">
        <v>26.8</v>
      </c>
    </row>
    <row r="129" spans="1:8" x14ac:dyDescent="0.35">
      <c r="A129" s="7">
        <v>43593</v>
      </c>
      <c r="B129" s="8">
        <v>26.44</v>
      </c>
      <c r="D129" s="8">
        <v>26.59</v>
      </c>
      <c r="F129" s="8">
        <v>27.17</v>
      </c>
      <c r="H129" s="8">
        <v>27.6</v>
      </c>
    </row>
    <row r="130" spans="1:8" x14ac:dyDescent="0.35">
      <c r="A130" s="7">
        <v>43594</v>
      </c>
      <c r="B130" s="8">
        <v>26.89</v>
      </c>
      <c r="D130" s="8">
        <v>27.21</v>
      </c>
      <c r="F130" s="8">
        <v>27.33</v>
      </c>
    </row>
    <row r="131" spans="1:8" x14ac:dyDescent="0.35">
      <c r="A131" s="7">
        <v>43595</v>
      </c>
      <c r="B131" s="8">
        <v>25.98</v>
      </c>
      <c r="D131" s="8">
        <v>26.18</v>
      </c>
      <c r="F131" s="8">
        <v>26.69</v>
      </c>
      <c r="H131" s="8">
        <v>27.14</v>
      </c>
    </row>
    <row r="132" spans="1:8" x14ac:dyDescent="0.35">
      <c r="A132" s="7">
        <v>43596</v>
      </c>
      <c r="B132" s="8">
        <v>25.98</v>
      </c>
      <c r="D132" s="8">
        <v>26.18</v>
      </c>
      <c r="F132" s="8">
        <v>26.69</v>
      </c>
      <c r="H132" s="8">
        <v>27.14</v>
      </c>
    </row>
    <row r="133" spans="1:8" x14ac:dyDescent="0.35">
      <c r="A133" s="7">
        <v>43597</v>
      </c>
      <c r="B133" s="8">
        <v>25.98</v>
      </c>
      <c r="D133" s="8">
        <v>26.18</v>
      </c>
      <c r="F133" s="8">
        <v>26.69</v>
      </c>
      <c r="H133" s="8">
        <v>27.14</v>
      </c>
    </row>
    <row r="134" spans="1:8" x14ac:dyDescent="0.35">
      <c r="A134" s="7">
        <v>43598</v>
      </c>
      <c r="B134" s="8">
        <v>25.6</v>
      </c>
      <c r="D134" s="8">
        <v>25.89</v>
      </c>
      <c r="F134" s="8">
        <v>26.53</v>
      </c>
      <c r="H134" s="8">
        <v>26.6</v>
      </c>
    </row>
    <row r="135" spans="1:8" x14ac:dyDescent="0.35">
      <c r="A135" s="7">
        <v>43599</v>
      </c>
      <c r="B135" s="8">
        <v>25.27</v>
      </c>
      <c r="D135" s="8">
        <v>25.43</v>
      </c>
      <c r="F135" s="8">
        <v>25.66</v>
      </c>
    </row>
    <row r="136" spans="1:8" x14ac:dyDescent="0.35">
      <c r="A136" s="7">
        <v>43600</v>
      </c>
      <c r="B136" s="8">
        <v>25.75</v>
      </c>
      <c r="D136" s="8">
        <v>25.91</v>
      </c>
      <c r="F136" s="8">
        <v>26.09</v>
      </c>
    </row>
    <row r="137" spans="1:8" x14ac:dyDescent="0.35">
      <c r="A137" s="7">
        <v>43601</v>
      </c>
      <c r="B137" s="8">
        <v>25.93</v>
      </c>
      <c r="D137" s="8">
        <v>26.12</v>
      </c>
      <c r="F137" s="8">
        <v>26.25</v>
      </c>
    </row>
    <row r="138" spans="1:8" x14ac:dyDescent="0.35">
      <c r="A138" s="7">
        <v>43602</v>
      </c>
      <c r="B138" s="8">
        <v>25.17</v>
      </c>
      <c r="D138" s="8">
        <v>25.49</v>
      </c>
      <c r="F138" s="8">
        <v>25.72</v>
      </c>
      <c r="H138" s="8">
        <v>26.54</v>
      </c>
    </row>
    <row r="139" spans="1:8" x14ac:dyDescent="0.35">
      <c r="A139" s="7">
        <v>43603</v>
      </c>
      <c r="B139" s="8">
        <v>25.17</v>
      </c>
      <c r="D139" s="8">
        <v>25.49</v>
      </c>
      <c r="F139" s="8">
        <v>25.72</v>
      </c>
      <c r="H139" s="8">
        <v>26.54</v>
      </c>
    </row>
    <row r="140" spans="1:8" x14ac:dyDescent="0.35">
      <c r="A140" s="7">
        <v>43604</v>
      </c>
      <c r="B140" s="8">
        <v>25.17</v>
      </c>
      <c r="D140" s="8">
        <v>25.49</v>
      </c>
      <c r="F140" s="8">
        <v>25.72</v>
      </c>
      <c r="H140" s="8">
        <v>26.54</v>
      </c>
    </row>
    <row r="141" spans="1:8" x14ac:dyDescent="0.35">
      <c r="A141" s="7">
        <v>43605</v>
      </c>
      <c r="B141" s="8">
        <v>25.14</v>
      </c>
      <c r="D141" s="8">
        <v>25.34</v>
      </c>
      <c r="F141" s="8">
        <v>25.56</v>
      </c>
    </row>
    <row r="142" spans="1:8" x14ac:dyDescent="0.35">
      <c r="A142" s="7">
        <v>43606</v>
      </c>
      <c r="B142" s="8">
        <v>25.08</v>
      </c>
      <c r="D142" s="8">
        <v>25.31</v>
      </c>
      <c r="F142" s="8">
        <v>25.7</v>
      </c>
      <c r="H142" s="8">
        <v>26.18</v>
      </c>
    </row>
    <row r="143" spans="1:8" x14ac:dyDescent="0.35">
      <c r="A143" s="7">
        <v>43607</v>
      </c>
      <c r="B143" s="8">
        <v>25.8</v>
      </c>
      <c r="D143" s="8">
        <v>26.03</v>
      </c>
      <c r="F143" s="8">
        <v>26.17</v>
      </c>
    </row>
    <row r="144" spans="1:8" x14ac:dyDescent="0.35">
      <c r="A144" s="7">
        <v>43608</v>
      </c>
      <c r="B144" s="8">
        <v>26.01</v>
      </c>
      <c r="D144" s="8">
        <v>26.3</v>
      </c>
      <c r="F144" s="8">
        <v>26.51</v>
      </c>
      <c r="H144" s="8">
        <v>27.08</v>
      </c>
    </row>
    <row r="145" spans="1:8" x14ac:dyDescent="0.35">
      <c r="A145" s="7">
        <v>43609</v>
      </c>
      <c r="B145" s="8">
        <v>25.57</v>
      </c>
      <c r="D145" s="8">
        <v>25.79</v>
      </c>
      <c r="F145" s="8">
        <v>26.16</v>
      </c>
      <c r="H145" s="8">
        <v>26.61</v>
      </c>
    </row>
    <row r="146" spans="1:8" x14ac:dyDescent="0.35">
      <c r="A146" s="7">
        <v>43610</v>
      </c>
      <c r="B146" s="8">
        <v>25.57</v>
      </c>
      <c r="D146" s="8">
        <v>25.79</v>
      </c>
      <c r="F146" s="8">
        <v>26.16</v>
      </c>
      <c r="H146" s="8">
        <v>26.61</v>
      </c>
    </row>
    <row r="147" spans="1:8" x14ac:dyDescent="0.35">
      <c r="A147" s="7">
        <v>43611</v>
      </c>
      <c r="B147" s="8">
        <v>25.57</v>
      </c>
      <c r="D147" s="8">
        <v>25.79</v>
      </c>
      <c r="F147" s="8">
        <v>26.16</v>
      </c>
      <c r="H147" s="8">
        <v>26.61</v>
      </c>
    </row>
    <row r="148" spans="1:8" x14ac:dyDescent="0.35">
      <c r="A148" s="7">
        <v>43612</v>
      </c>
      <c r="B148" s="8">
        <v>25.4</v>
      </c>
      <c r="D148" s="8">
        <v>25.62</v>
      </c>
      <c r="F148" s="8">
        <v>25.91</v>
      </c>
      <c r="H148" s="8">
        <v>26.4</v>
      </c>
    </row>
    <row r="149" spans="1:8" x14ac:dyDescent="0.35">
      <c r="A149" s="7">
        <v>43613</v>
      </c>
      <c r="B149" s="8">
        <v>25.36</v>
      </c>
      <c r="D149" s="8">
        <v>25.61</v>
      </c>
      <c r="F149" s="8">
        <v>25.99</v>
      </c>
      <c r="H149" s="8">
        <v>26.36</v>
      </c>
    </row>
    <row r="150" spans="1:8" x14ac:dyDescent="0.35">
      <c r="A150" s="7">
        <v>43614</v>
      </c>
      <c r="B150" s="8">
        <v>25.65</v>
      </c>
      <c r="D150" s="8">
        <v>25.98</v>
      </c>
      <c r="F150" s="8">
        <v>26.28</v>
      </c>
      <c r="H150" s="8">
        <v>26.74</v>
      </c>
    </row>
    <row r="151" spans="1:8" x14ac:dyDescent="0.35">
      <c r="A151" s="7">
        <v>43615</v>
      </c>
      <c r="B151" s="8">
        <v>25.37</v>
      </c>
      <c r="D151" s="8">
        <v>25.65</v>
      </c>
      <c r="F151" s="8">
        <v>25.98</v>
      </c>
      <c r="H151" s="8">
        <v>26.45</v>
      </c>
    </row>
    <row r="152" spans="1:8" x14ac:dyDescent="0.35">
      <c r="A152" s="7">
        <v>43616</v>
      </c>
      <c r="B152" s="8">
        <v>24.61</v>
      </c>
      <c r="D152" s="8">
        <v>24.91</v>
      </c>
      <c r="F152" s="8">
        <v>25.19</v>
      </c>
      <c r="H152" s="8">
        <v>25.68</v>
      </c>
    </row>
    <row r="153" spans="1:8" x14ac:dyDescent="0.35">
      <c r="A153" s="7">
        <v>43617</v>
      </c>
      <c r="B153" s="8">
        <v>24.61</v>
      </c>
      <c r="D153" s="8">
        <v>24.91</v>
      </c>
      <c r="F153" s="8">
        <v>25.19</v>
      </c>
      <c r="H153" s="8">
        <v>25.68</v>
      </c>
    </row>
    <row r="154" spans="1:8" x14ac:dyDescent="0.35">
      <c r="A154" s="7">
        <v>43618</v>
      </c>
      <c r="B154" s="8">
        <v>24.61</v>
      </c>
      <c r="D154" s="8">
        <v>24.91</v>
      </c>
      <c r="F154" s="8">
        <v>25.19</v>
      </c>
      <c r="H154" s="8">
        <v>25.68</v>
      </c>
    </row>
    <row r="155" spans="1:8" x14ac:dyDescent="0.35">
      <c r="A155" s="7">
        <v>43619</v>
      </c>
      <c r="B155" s="8">
        <v>24.07</v>
      </c>
      <c r="D155" s="8">
        <v>24.33</v>
      </c>
      <c r="F155" s="8">
        <v>24.66</v>
      </c>
      <c r="H155" s="8">
        <v>25.16</v>
      </c>
    </row>
    <row r="156" spans="1:8" x14ac:dyDescent="0.35">
      <c r="A156" s="7">
        <v>43620</v>
      </c>
      <c r="B156" s="8">
        <v>24.12</v>
      </c>
      <c r="D156" s="8">
        <v>24.35</v>
      </c>
      <c r="F156" s="8">
        <v>24.63</v>
      </c>
      <c r="H156" s="8">
        <v>25.32</v>
      </c>
    </row>
    <row r="157" spans="1:8" x14ac:dyDescent="0.35">
      <c r="A157" s="7">
        <v>43621</v>
      </c>
      <c r="B157" s="8">
        <v>24.53</v>
      </c>
      <c r="D157" s="8">
        <v>24.86</v>
      </c>
      <c r="F157" s="8">
        <v>25.12</v>
      </c>
      <c r="H157" s="11">
        <v>25.28</v>
      </c>
    </row>
    <row r="158" spans="1:8" x14ac:dyDescent="0.35">
      <c r="A158" s="7">
        <v>43622</v>
      </c>
      <c r="B158" s="8">
        <v>24.06</v>
      </c>
      <c r="D158" s="8">
        <v>24.34</v>
      </c>
      <c r="F158" s="8">
        <v>24.71</v>
      </c>
      <c r="H158" s="8">
        <v>25.4</v>
      </c>
    </row>
    <row r="159" spans="1:8" x14ac:dyDescent="0.35">
      <c r="A159" s="7">
        <v>43623</v>
      </c>
      <c r="B159" s="8">
        <v>24.35</v>
      </c>
      <c r="D159" s="8">
        <v>24.69</v>
      </c>
      <c r="F159" s="8">
        <v>25.07</v>
      </c>
      <c r="H159" s="8">
        <v>25.7</v>
      </c>
    </row>
    <row r="160" spans="1:8" x14ac:dyDescent="0.35">
      <c r="A160" s="7">
        <v>43624</v>
      </c>
      <c r="B160" s="8">
        <v>24.35</v>
      </c>
      <c r="D160" s="8">
        <v>24.69</v>
      </c>
      <c r="F160" s="8">
        <v>25.07</v>
      </c>
      <c r="H160" s="8">
        <v>25.7</v>
      </c>
    </row>
    <row r="161" spans="1:8" x14ac:dyDescent="0.35">
      <c r="A161" s="7">
        <v>43625</v>
      </c>
      <c r="B161" s="8">
        <v>24.35</v>
      </c>
      <c r="D161" s="8">
        <v>24.69</v>
      </c>
      <c r="F161" s="8">
        <v>25.07</v>
      </c>
      <c r="H161" s="8">
        <v>25.7</v>
      </c>
    </row>
    <row r="162" spans="1:8" x14ac:dyDescent="0.35">
      <c r="A162" s="7">
        <v>43626</v>
      </c>
      <c r="B162" s="8">
        <v>25.1</v>
      </c>
      <c r="D162" s="8">
        <v>25.43</v>
      </c>
      <c r="F162" s="8">
        <v>25.83</v>
      </c>
      <c r="H162" s="11">
        <v>26.36</v>
      </c>
    </row>
    <row r="163" spans="1:8" x14ac:dyDescent="0.35">
      <c r="A163" s="7">
        <v>43627</v>
      </c>
      <c r="B163" s="8">
        <v>25.11</v>
      </c>
      <c r="D163" s="8">
        <v>25.44</v>
      </c>
      <c r="F163" s="8">
        <v>25.79</v>
      </c>
      <c r="H163" s="11">
        <v>26.11</v>
      </c>
    </row>
    <row r="164" spans="1:8" x14ac:dyDescent="0.35">
      <c r="A164" s="7">
        <v>43628</v>
      </c>
      <c r="B164" s="8">
        <v>24.74</v>
      </c>
      <c r="D164" s="8">
        <v>25.04</v>
      </c>
      <c r="F164" s="8">
        <v>25.42</v>
      </c>
      <c r="H164" s="8">
        <v>25.87</v>
      </c>
    </row>
    <row r="165" spans="1:8" x14ac:dyDescent="0.35">
      <c r="A165" s="7">
        <v>43629</v>
      </c>
      <c r="B165" s="8">
        <v>25</v>
      </c>
      <c r="D165" s="8">
        <v>25.31</v>
      </c>
      <c r="F165" s="8">
        <v>25.67</v>
      </c>
      <c r="H165" s="8">
        <v>26.09</v>
      </c>
    </row>
    <row r="166" spans="1:8" x14ac:dyDescent="0.35">
      <c r="A166" s="7">
        <v>43630</v>
      </c>
      <c r="B166" s="8">
        <v>24.86</v>
      </c>
      <c r="D166" s="8">
        <v>25.14</v>
      </c>
      <c r="F166" s="8">
        <v>25.56</v>
      </c>
      <c r="H166" s="11">
        <v>26.15</v>
      </c>
    </row>
    <row r="167" spans="1:8" x14ac:dyDescent="0.35">
      <c r="A167" s="7">
        <v>43631</v>
      </c>
      <c r="B167" s="8">
        <v>24.86</v>
      </c>
      <c r="D167" s="8">
        <v>25.14</v>
      </c>
      <c r="F167" s="8">
        <v>25.56</v>
      </c>
      <c r="H167" s="11">
        <v>26.15</v>
      </c>
    </row>
    <row r="168" spans="1:8" x14ac:dyDescent="0.35">
      <c r="A168" s="7">
        <v>43632</v>
      </c>
      <c r="B168" s="8">
        <v>24.86</v>
      </c>
      <c r="D168" s="8">
        <v>25.14</v>
      </c>
      <c r="F168" s="8">
        <v>25.56</v>
      </c>
      <c r="H168" s="11">
        <v>26.15</v>
      </c>
    </row>
    <row r="169" spans="1:8" x14ac:dyDescent="0.35">
      <c r="A169" s="7">
        <v>43633</v>
      </c>
      <c r="B169" s="8">
        <v>24.98</v>
      </c>
      <c r="D169" s="8">
        <v>25.29</v>
      </c>
      <c r="F169" s="8">
        <v>25.67</v>
      </c>
      <c r="H169" s="8">
        <v>26.11</v>
      </c>
    </row>
    <row r="170" spans="1:8" x14ac:dyDescent="0.35">
      <c r="A170" s="7">
        <v>43634</v>
      </c>
      <c r="B170" s="8">
        <v>25.13</v>
      </c>
      <c r="D170" s="8">
        <v>25.39</v>
      </c>
      <c r="F170" s="8">
        <v>25.81</v>
      </c>
      <c r="H170" s="8">
        <v>26.16</v>
      </c>
    </row>
    <row r="171" spans="1:8" x14ac:dyDescent="0.35">
      <c r="A171" s="7">
        <v>43635</v>
      </c>
      <c r="B171" s="8">
        <v>25.08</v>
      </c>
      <c r="D171" s="12">
        <v>25.41</v>
      </c>
      <c r="E171" s="12"/>
      <c r="F171" s="8">
        <v>25.78</v>
      </c>
      <c r="H171" s="8">
        <v>26.41</v>
      </c>
    </row>
    <row r="172" spans="1:8" x14ac:dyDescent="0.35">
      <c r="A172" s="7">
        <v>43636</v>
      </c>
      <c r="B172" s="8">
        <v>24.95</v>
      </c>
      <c r="D172" s="12">
        <v>25.28</v>
      </c>
      <c r="E172" s="12"/>
      <c r="F172" s="8">
        <v>25.68</v>
      </c>
      <c r="H172" s="8">
        <v>25.99</v>
      </c>
    </row>
    <row r="173" spans="1:8" x14ac:dyDescent="0.35">
      <c r="A173" s="7">
        <v>43637</v>
      </c>
      <c r="B173" s="8">
        <v>25.1</v>
      </c>
      <c r="D173" s="8">
        <v>25.4</v>
      </c>
      <c r="F173" s="8">
        <v>25.81</v>
      </c>
      <c r="H173" s="8">
        <v>26.15</v>
      </c>
    </row>
    <row r="174" spans="1:8" x14ac:dyDescent="0.35">
      <c r="A174" s="7">
        <v>43638</v>
      </c>
      <c r="B174" s="8">
        <v>25.1</v>
      </c>
      <c r="D174" s="8">
        <v>25.4</v>
      </c>
      <c r="F174" s="8">
        <v>25.81</v>
      </c>
      <c r="H174" s="8">
        <v>26.15</v>
      </c>
    </row>
    <row r="175" spans="1:8" x14ac:dyDescent="0.35">
      <c r="A175" s="7">
        <v>43639</v>
      </c>
      <c r="B175" s="8">
        <v>25.1</v>
      </c>
      <c r="D175" s="8">
        <v>25.4</v>
      </c>
      <c r="F175" s="8">
        <v>25.81</v>
      </c>
      <c r="H175" s="8">
        <v>26.15</v>
      </c>
    </row>
    <row r="176" spans="1:8" x14ac:dyDescent="0.35">
      <c r="A176" s="7">
        <v>43640</v>
      </c>
      <c r="B176" s="8">
        <v>25.95</v>
      </c>
      <c r="D176" s="8">
        <v>26.27</v>
      </c>
      <c r="F176" s="8">
        <v>26.62</v>
      </c>
      <c r="H176" s="8">
        <v>26.89</v>
      </c>
    </row>
    <row r="177" spans="1:8" x14ac:dyDescent="0.35">
      <c r="A177" s="7">
        <v>43641</v>
      </c>
      <c r="B177" s="8">
        <v>26.41</v>
      </c>
      <c r="D177" s="8">
        <v>26.77</v>
      </c>
      <c r="F177" s="8">
        <v>27.3</v>
      </c>
      <c r="H177" s="8">
        <v>27.67</v>
      </c>
    </row>
    <row r="178" spans="1:8" x14ac:dyDescent="0.35">
      <c r="A178" s="7">
        <v>43642</v>
      </c>
      <c r="B178" s="8">
        <v>27.03</v>
      </c>
      <c r="D178" s="8">
        <v>27.42</v>
      </c>
      <c r="F178" s="8">
        <v>27.85</v>
      </c>
      <c r="H178" s="8">
        <v>28.44</v>
      </c>
    </row>
    <row r="179" spans="1:8" x14ac:dyDescent="0.35">
      <c r="A179" s="7">
        <v>43643</v>
      </c>
      <c r="B179" s="8">
        <v>27.09</v>
      </c>
      <c r="D179" s="8">
        <v>27.44</v>
      </c>
      <c r="F179" s="8">
        <v>27.92</v>
      </c>
      <c r="H179" s="8">
        <v>28.46</v>
      </c>
    </row>
    <row r="180" spans="1:8" x14ac:dyDescent="0.35">
      <c r="A180" s="7">
        <v>43644</v>
      </c>
      <c r="B180" s="8">
        <v>26.5</v>
      </c>
      <c r="D180" s="8">
        <v>26.88</v>
      </c>
      <c r="F180" s="8">
        <v>27.29</v>
      </c>
      <c r="H180" s="11">
        <v>27.5</v>
      </c>
    </row>
    <row r="181" spans="1:8" x14ac:dyDescent="0.35">
      <c r="A181" s="7">
        <v>43645</v>
      </c>
      <c r="B181" s="8">
        <v>26.5</v>
      </c>
      <c r="D181" s="8">
        <v>26.88</v>
      </c>
      <c r="F181" s="8">
        <v>27.29</v>
      </c>
      <c r="H181" s="11">
        <v>27.5</v>
      </c>
    </row>
    <row r="182" spans="1:8" x14ac:dyDescent="0.35">
      <c r="A182" s="7">
        <v>43646</v>
      </c>
      <c r="B182" s="8">
        <v>26.5</v>
      </c>
      <c r="D182" s="8">
        <v>26.88</v>
      </c>
      <c r="F182" s="8">
        <v>27.29</v>
      </c>
      <c r="H182" s="11">
        <v>27.5</v>
      </c>
    </row>
    <row r="183" spans="1:8" x14ac:dyDescent="0.35">
      <c r="A183" s="7">
        <v>43647</v>
      </c>
      <c r="B183" s="8">
        <v>26.89</v>
      </c>
      <c r="D183" s="8">
        <v>27.28</v>
      </c>
      <c r="F183" s="8">
        <v>27.74</v>
      </c>
      <c r="H183" s="8">
        <v>28.13</v>
      </c>
    </row>
    <row r="184" spans="1:8" x14ac:dyDescent="0.35">
      <c r="A184" s="7">
        <v>43648</v>
      </c>
      <c r="B184" s="8">
        <v>27.05</v>
      </c>
      <c r="D184" s="8">
        <v>27.41</v>
      </c>
      <c r="F184" s="8">
        <v>27.96</v>
      </c>
      <c r="H184" s="8">
        <v>28.44</v>
      </c>
    </row>
    <row r="185" spans="1:8" x14ac:dyDescent="0.35">
      <c r="A185" s="7">
        <v>43649</v>
      </c>
      <c r="B185" s="8">
        <v>26.56</v>
      </c>
      <c r="D185" s="8">
        <v>26.97</v>
      </c>
      <c r="F185" s="8">
        <v>27.39</v>
      </c>
      <c r="H185" s="8">
        <v>27.83</v>
      </c>
    </row>
    <row r="186" spans="1:8" x14ac:dyDescent="0.35">
      <c r="A186" s="7">
        <v>43650</v>
      </c>
      <c r="B186" s="8">
        <v>26.26</v>
      </c>
      <c r="D186" s="8">
        <v>26.61</v>
      </c>
      <c r="F186" s="8">
        <v>27.12</v>
      </c>
      <c r="H186" s="8">
        <v>27.44</v>
      </c>
    </row>
    <row r="187" spans="1:8" x14ac:dyDescent="0.35">
      <c r="A187" s="7">
        <v>43651</v>
      </c>
      <c r="B187" s="8">
        <v>26.02</v>
      </c>
      <c r="D187" s="8">
        <v>26.38</v>
      </c>
      <c r="F187" s="8">
        <v>26.78</v>
      </c>
      <c r="H187" s="8">
        <v>27.23</v>
      </c>
    </row>
    <row r="188" spans="1:8" x14ac:dyDescent="0.35">
      <c r="A188" s="7">
        <v>43652</v>
      </c>
      <c r="B188" s="8">
        <v>26.02</v>
      </c>
      <c r="D188" s="8">
        <v>26.38</v>
      </c>
      <c r="F188" s="8">
        <v>26.78</v>
      </c>
      <c r="H188" s="8">
        <v>27.23</v>
      </c>
    </row>
    <row r="189" spans="1:8" x14ac:dyDescent="0.35">
      <c r="A189" s="7">
        <v>43653</v>
      </c>
      <c r="B189" s="8">
        <v>26.02</v>
      </c>
      <c r="D189" s="8">
        <v>26.38</v>
      </c>
      <c r="F189" s="8">
        <v>26.78</v>
      </c>
      <c r="H189" s="8">
        <v>27.23</v>
      </c>
    </row>
    <row r="190" spans="1:8" x14ac:dyDescent="0.35">
      <c r="A190" s="7">
        <v>43654</v>
      </c>
      <c r="B190" s="8">
        <v>26.71</v>
      </c>
      <c r="D190" s="8">
        <v>27.11</v>
      </c>
      <c r="F190" s="8">
        <v>27.64</v>
      </c>
      <c r="H190" s="8">
        <v>28.16</v>
      </c>
    </row>
    <row r="191" spans="1:8" x14ac:dyDescent="0.35">
      <c r="A191" s="7">
        <v>43655</v>
      </c>
      <c r="B191" s="8">
        <v>26.75</v>
      </c>
      <c r="D191" s="8">
        <v>27.12</v>
      </c>
      <c r="F191" s="8">
        <v>27.69</v>
      </c>
      <c r="H191" s="8">
        <v>28.13</v>
      </c>
    </row>
    <row r="192" spans="1:8" x14ac:dyDescent="0.35">
      <c r="A192" s="7">
        <v>43656</v>
      </c>
      <c r="B192" s="8">
        <v>27.49</v>
      </c>
      <c r="D192" s="8">
        <v>27.6</v>
      </c>
      <c r="F192" s="8">
        <v>27.91</v>
      </c>
      <c r="H192" s="8">
        <v>28.59</v>
      </c>
    </row>
    <row r="193" spans="1:8" x14ac:dyDescent="0.35">
      <c r="A193" s="7">
        <v>43657</v>
      </c>
      <c r="B193" s="8">
        <v>28.32</v>
      </c>
      <c r="D193" s="8">
        <v>28.72</v>
      </c>
      <c r="F193" s="8">
        <v>29.1</v>
      </c>
      <c r="H193" s="8">
        <v>29.53</v>
      </c>
    </row>
    <row r="194" spans="1:8" x14ac:dyDescent="0.35">
      <c r="A194" s="7">
        <v>43658</v>
      </c>
      <c r="B194" s="8">
        <v>28.39</v>
      </c>
      <c r="D194" s="8">
        <v>28.68</v>
      </c>
      <c r="F194" s="8">
        <v>29.36</v>
      </c>
      <c r="H194" s="8">
        <v>29.83</v>
      </c>
    </row>
    <row r="195" spans="1:8" x14ac:dyDescent="0.35">
      <c r="A195" s="7">
        <v>43659</v>
      </c>
      <c r="B195" s="8">
        <v>28.39</v>
      </c>
      <c r="D195" s="8">
        <v>28.68</v>
      </c>
      <c r="F195" s="8">
        <v>29.36</v>
      </c>
      <c r="H195" s="8">
        <v>29.83</v>
      </c>
    </row>
    <row r="196" spans="1:8" x14ac:dyDescent="0.35">
      <c r="A196" s="7">
        <v>43660</v>
      </c>
      <c r="B196" s="8">
        <v>28.39</v>
      </c>
      <c r="D196" s="8">
        <v>28.68</v>
      </c>
      <c r="F196" s="8">
        <v>29.36</v>
      </c>
      <c r="H196" s="8">
        <v>29.83</v>
      </c>
    </row>
    <row r="197" spans="1:8" x14ac:dyDescent="0.35">
      <c r="A197" s="7">
        <v>43661</v>
      </c>
      <c r="B197" s="8">
        <v>29.16</v>
      </c>
      <c r="D197" s="8">
        <v>29.58</v>
      </c>
      <c r="F197" s="8">
        <v>30.17</v>
      </c>
      <c r="H197" s="8">
        <v>30.74</v>
      </c>
    </row>
    <row r="198" spans="1:8" x14ac:dyDescent="0.35">
      <c r="A198" s="7">
        <v>43662</v>
      </c>
      <c r="B198" s="8">
        <v>28.98</v>
      </c>
      <c r="D198" s="8">
        <v>29.48</v>
      </c>
      <c r="F198" s="8">
        <v>30.13</v>
      </c>
      <c r="H198" s="8">
        <v>30.77</v>
      </c>
    </row>
    <row r="199" spans="1:8" x14ac:dyDescent="0.35">
      <c r="A199" s="7">
        <v>43663</v>
      </c>
      <c r="B199" s="8">
        <v>28.41</v>
      </c>
      <c r="D199" s="8">
        <v>28.86</v>
      </c>
      <c r="F199" s="8">
        <v>29.44</v>
      </c>
      <c r="H199" s="8">
        <v>29.99</v>
      </c>
    </row>
    <row r="200" spans="1:8" x14ac:dyDescent="0.35">
      <c r="A200" s="7">
        <v>43664</v>
      </c>
      <c r="B200" s="8">
        <v>28.11</v>
      </c>
      <c r="D200" s="8">
        <v>28.54</v>
      </c>
      <c r="F200" s="8">
        <v>29.18</v>
      </c>
      <c r="H200" s="11">
        <v>29.28</v>
      </c>
    </row>
    <row r="201" spans="1:8" x14ac:dyDescent="0.35">
      <c r="A201" s="7">
        <v>43665</v>
      </c>
      <c r="B201" s="8">
        <v>28.41</v>
      </c>
      <c r="D201" s="8">
        <v>28.69</v>
      </c>
      <c r="F201" s="8">
        <v>29.16</v>
      </c>
      <c r="H201" s="8">
        <v>29.62</v>
      </c>
    </row>
    <row r="202" spans="1:8" x14ac:dyDescent="0.35">
      <c r="A202" s="7">
        <v>43666</v>
      </c>
      <c r="B202" s="8">
        <v>28.41</v>
      </c>
      <c r="D202" s="8">
        <v>28.69</v>
      </c>
      <c r="F202" s="8">
        <v>29.16</v>
      </c>
      <c r="H202" s="8">
        <v>29.62</v>
      </c>
    </row>
    <row r="203" spans="1:8" x14ac:dyDescent="0.35">
      <c r="A203" s="7">
        <v>43667</v>
      </c>
      <c r="B203" s="8">
        <v>28.41</v>
      </c>
      <c r="D203" s="8">
        <v>28.69</v>
      </c>
      <c r="F203" s="8">
        <v>29.16</v>
      </c>
      <c r="H203" s="8">
        <v>29.62</v>
      </c>
    </row>
    <row r="204" spans="1:8" x14ac:dyDescent="0.35">
      <c r="A204" s="7">
        <v>43668</v>
      </c>
      <c r="B204" s="8">
        <v>28.92</v>
      </c>
      <c r="D204" s="8">
        <v>29.3</v>
      </c>
      <c r="F204" s="8">
        <v>30.01</v>
      </c>
      <c r="H204" s="8">
        <v>30.57</v>
      </c>
    </row>
    <row r="205" spans="1:8" x14ac:dyDescent="0.35">
      <c r="A205" s="7">
        <v>43669</v>
      </c>
      <c r="B205" s="8">
        <v>29.38</v>
      </c>
      <c r="D205" s="8">
        <v>29.64</v>
      </c>
      <c r="F205" s="8">
        <v>30.14</v>
      </c>
      <c r="H205" s="8">
        <v>30.49</v>
      </c>
    </row>
    <row r="206" spans="1:8" x14ac:dyDescent="0.35">
      <c r="A206" s="7">
        <v>43670</v>
      </c>
      <c r="B206" s="8">
        <v>29.47</v>
      </c>
      <c r="D206" s="8">
        <v>29.85</v>
      </c>
      <c r="F206" s="8">
        <v>30.5</v>
      </c>
      <c r="H206" s="11">
        <v>30.7</v>
      </c>
    </row>
    <row r="207" spans="1:8" x14ac:dyDescent="0.35">
      <c r="A207" s="7">
        <v>43671</v>
      </c>
      <c r="B207" s="8">
        <v>29.36</v>
      </c>
      <c r="D207" s="8">
        <v>29.6</v>
      </c>
      <c r="F207" s="8">
        <v>30.33</v>
      </c>
      <c r="H207" s="8">
        <v>31.02</v>
      </c>
    </row>
    <row r="208" spans="1:8" x14ac:dyDescent="0.35">
      <c r="A208" s="7">
        <v>43672</v>
      </c>
      <c r="B208" s="8">
        <v>28.47</v>
      </c>
      <c r="D208" s="8">
        <v>28.82</v>
      </c>
      <c r="F208" s="8">
        <v>29.57</v>
      </c>
      <c r="H208" s="11">
        <v>29.75</v>
      </c>
    </row>
    <row r="209" spans="1:8" x14ac:dyDescent="0.35">
      <c r="A209" s="7">
        <v>43673</v>
      </c>
      <c r="B209" s="8">
        <v>28.47</v>
      </c>
      <c r="D209" s="8">
        <v>28.82</v>
      </c>
      <c r="F209" s="8">
        <v>29.57</v>
      </c>
      <c r="H209" s="8">
        <v>29.75</v>
      </c>
    </row>
    <row r="210" spans="1:8" x14ac:dyDescent="0.35">
      <c r="A210" s="7">
        <v>43674</v>
      </c>
      <c r="B210" s="8">
        <v>28.47</v>
      </c>
      <c r="D210" s="8">
        <v>28.82</v>
      </c>
      <c r="F210" s="8">
        <v>29.57</v>
      </c>
      <c r="H210" s="8">
        <v>29.75</v>
      </c>
    </row>
    <row r="211" spans="1:8" x14ac:dyDescent="0.35">
      <c r="A211" s="7">
        <v>43675</v>
      </c>
      <c r="B211" s="8">
        <v>28.79</v>
      </c>
      <c r="D211" s="8">
        <v>29.22</v>
      </c>
      <c r="F211" s="8">
        <v>29.54</v>
      </c>
      <c r="H211" s="11">
        <v>29.85</v>
      </c>
    </row>
    <row r="212" spans="1:8" x14ac:dyDescent="0.35">
      <c r="A212" s="7">
        <v>43676</v>
      </c>
      <c r="B212" s="8">
        <v>28.11</v>
      </c>
      <c r="D212" s="8">
        <v>28.47</v>
      </c>
      <c r="F212" s="8">
        <v>29.05</v>
      </c>
      <c r="H212" s="8">
        <v>29.53</v>
      </c>
    </row>
    <row r="213" spans="1:8" x14ac:dyDescent="0.35">
      <c r="A213" s="7">
        <v>43677</v>
      </c>
      <c r="B213" s="8">
        <v>28.06</v>
      </c>
      <c r="D213" s="8">
        <v>28.46</v>
      </c>
      <c r="F213" s="8">
        <v>29.03</v>
      </c>
      <c r="H213" s="8">
        <v>29.63</v>
      </c>
    </row>
    <row r="214" spans="1:8" x14ac:dyDescent="0.35">
      <c r="A214" s="7">
        <v>43678</v>
      </c>
      <c r="B214" s="8">
        <v>28.87</v>
      </c>
      <c r="D214" s="8">
        <v>29.25</v>
      </c>
      <c r="F214" s="8">
        <v>29.62</v>
      </c>
      <c r="H214" s="8">
        <v>30.01</v>
      </c>
    </row>
    <row r="215" spans="1:8" x14ac:dyDescent="0.35">
      <c r="A215" s="7">
        <v>43679</v>
      </c>
      <c r="B215" s="8">
        <v>29.21</v>
      </c>
      <c r="D215" s="8">
        <v>29.53</v>
      </c>
      <c r="F215" s="8">
        <v>30.09</v>
      </c>
      <c r="H215" s="8">
        <v>30.63</v>
      </c>
    </row>
    <row r="216" spans="1:8" x14ac:dyDescent="0.35">
      <c r="A216" s="7">
        <v>43680</v>
      </c>
      <c r="B216" s="8">
        <v>29.21</v>
      </c>
      <c r="D216" s="8">
        <v>29.53</v>
      </c>
      <c r="F216" s="8">
        <v>30.09</v>
      </c>
      <c r="H216" s="8">
        <v>30.63</v>
      </c>
    </row>
    <row r="217" spans="1:8" x14ac:dyDescent="0.35">
      <c r="A217" s="7">
        <v>43681</v>
      </c>
      <c r="B217" s="8">
        <v>29.21</v>
      </c>
      <c r="D217" s="8">
        <v>29.53</v>
      </c>
      <c r="F217" s="8">
        <v>30.09</v>
      </c>
      <c r="H217" s="8">
        <v>30.63</v>
      </c>
    </row>
    <row r="218" spans="1:8" x14ac:dyDescent="0.35">
      <c r="A218" s="7">
        <v>43682</v>
      </c>
      <c r="B218" s="8">
        <v>28.75</v>
      </c>
      <c r="D218" s="8">
        <v>29.14</v>
      </c>
      <c r="F218" s="8">
        <v>29.49</v>
      </c>
      <c r="H218" s="11">
        <v>30.04</v>
      </c>
    </row>
    <row r="219" spans="1:8" x14ac:dyDescent="0.35">
      <c r="A219" s="7">
        <v>43683</v>
      </c>
      <c r="B219" s="8">
        <v>28.52</v>
      </c>
      <c r="D219" s="8">
        <v>28.81</v>
      </c>
      <c r="F219" s="8">
        <v>29.39</v>
      </c>
      <c r="H219" s="8">
        <v>30.05</v>
      </c>
    </row>
    <row r="220" spans="1:8" x14ac:dyDescent="0.35">
      <c r="A220" s="7">
        <v>43684</v>
      </c>
      <c r="B220" s="8">
        <v>28.25</v>
      </c>
      <c r="D220" s="8">
        <v>28.62</v>
      </c>
      <c r="F220" s="8">
        <v>29.15</v>
      </c>
      <c r="H220" s="8">
        <v>29.76</v>
      </c>
    </row>
    <row r="221" spans="1:8" x14ac:dyDescent="0.35">
      <c r="A221" s="7">
        <v>43685</v>
      </c>
      <c r="B221" s="8">
        <v>28.32</v>
      </c>
      <c r="D221" s="8">
        <v>28.58</v>
      </c>
      <c r="F221" s="8">
        <v>29.09</v>
      </c>
      <c r="H221" s="8">
        <v>29.42</v>
      </c>
    </row>
    <row r="222" spans="1:8" x14ac:dyDescent="0.35">
      <c r="A222" s="7">
        <v>43686</v>
      </c>
      <c r="B222" s="8">
        <v>28.24</v>
      </c>
      <c r="D222" s="8">
        <v>28.57</v>
      </c>
      <c r="F222" s="8">
        <v>29.19</v>
      </c>
      <c r="H222" s="11">
        <v>29.36</v>
      </c>
    </row>
    <row r="223" spans="1:8" x14ac:dyDescent="0.35">
      <c r="A223" s="7">
        <v>43687</v>
      </c>
      <c r="B223" s="8">
        <v>28.24</v>
      </c>
      <c r="D223" s="8">
        <v>28.57</v>
      </c>
      <c r="F223" s="8">
        <v>29.19</v>
      </c>
      <c r="H223" s="11">
        <v>29.36</v>
      </c>
    </row>
    <row r="224" spans="1:8" x14ac:dyDescent="0.35">
      <c r="A224" s="7">
        <v>43688</v>
      </c>
      <c r="B224" s="8">
        <v>28.24</v>
      </c>
      <c r="D224" s="8">
        <v>28.57</v>
      </c>
      <c r="F224" s="8">
        <v>29.19</v>
      </c>
      <c r="H224" s="11">
        <v>29.36</v>
      </c>
    </row>
    <row r="225" spans="1:8" x14ac:dyDescent="0.35">
      <c r="A225" s="7">
        <v>43689</v>
      </c>
      <c r="B225" s="8">
        <v>27.3</v>
      </c>
      <c r="D225" s="8">
        <v>27.59</v>
      </c>
      <c r="F225" s="8">
        <v>28.34</v>
      </c>
      <c r="H225" s="8">
        <v>28.59</v>
      </c>
    </row>
    <row r="226" spans="1:8" x14ac:dyDescent="0.35">
      <c r="A226" s="7">
        <v>43690</v>
      </c>
      <c r="B226" s="8">
        <v>26.4</v>
      </c>
      <c r="D226" s="8">
        <v>26.65</v>
      </c>
      <c r="F226" s="8">
        <v>26.98</v>
      </c>
      <c r="H226" s="8">
        <v>27.47</v>
      </c>
    </row>
    <row r="227" spans="1:8" x14ac:dyDescent="0.35">
      <c r="A227" s="7">
        <v>43691</v>
      </c>
      <c r="B227" s="8">
        <v>26.4</v>
      </c>
      <c r="D227" s="8">
        <v>26.65</v>
      </c>
      <c r="F227" s="8">
        <v>26.98</v>
      </c>
      <c r="H227" s="8">
        <v>27.47</v>
      </c>
    </row>
    <row r="228" spans="1:8" x14ac:dyDescent="0.35">
      <c r="A228" s="7">
        <v>43692</v>
      </c>
      <c r="B228" s="8">
        <v>26.4</v>
      </c>
      <c r="D228" s="8">
        <v>26.65</v>
      </c>
      <c r="F228" s="8">
        <v>26.98</v>
      </c>
      <c r="H228" s="8">
        <v>27.47</v>
      </c>
    </row>
    <row r="229" spans="1:8" x14ac:dyDescent="0.35">
      <c r="A229" s="7">
        <v>43693</v>
      </c>
      <c r="B229" s="8">
        <v>26.2</v>
      </c>
      <c r="D229" s="8">
        <v>26.54</v>
      </c>
      <c r="F229" s="8">
        <v>26.99</v>
      </c>
      <c r="H229" s="8">
        <v>27.52</v>
      </c>
    </row>
    <row r="230" spans="1:8" x14ac:dyDescent="0.35">
      <c r="A230" s="7">
        <v>43694</v>
      </c>
      <c r="B230" s="8">
        <v>26.2</v>
      </c>
      <c r="D230" s="8">
        <v>26.54</v>
      </c>
      <c r="F230" s="8">
        <v>26.99</v>
      </c>
      <c r="H230" s="8">
        <v>27.52</v>
      </c>
    </row>
    <row r="231" spans="1:8" x14ac:dyDescent="0.35">
      <c r="A231" s="7">
        <v>43695</v>
      </c>
      <c r="B231" s="8">
        <v>26.2</v>
      </c>
      <c r="D231" s="8">
        <v>26.54</v>
      </c>
      <c r="F231" s="8">
        <v>26.99</v>
      </c>
      <c r="H231" s="8">
        <v>27.52</v>
      </c>
    </row>
    <row r="232" spans="1:8" x14ac:dyDescent="0.35">
      <c r="A232" s="7">
        <v>43696</v>
      </c>
      <c r="B232" s="8">
        <v>26.4</v>
      </c>
      <c r="D232" s="8">
        <v>26.52</v>
      </c>
      <c r="F232" s="8">
        <v>26.92</v>
      </c>
      <c r="H232" s="11">
        <v>27.73</v>
      </c>
    </row>
    <row r="233" spans="1:8" x14ac:dyDescent="0.35">
      <c r="A233" s="7">
        <v>43697</v>
      </c>
      <c r="B233" s="8">
        <v>26.7</v>
      </c>
      <c r="D233" s="8">
        <v>27.12</v>
      </c>
      <c r="F233" s="8">
        <v>27.6</v>
      </c>
      <c r="H233" s="8">
        <v>27.91</v>
      </c>
    </row>
    <row r="234" spans="1:8" x14ac:dyDescent="0.35">
      <c r="A234" s="7">
        <v>43698</v>
      </c>
      <c r="B234" s="8">
        <v>26.3</v>
      </c>
      <c r="D234" s="8">
        <v>26.59</v>
      </c>
      <c r="F234" s="8">
        <v>27.05</v>
      </c>
      <c r="H234" s="8">
        <v>27.36</v>
      </c>
    </row>
    <row r="235" spans="1:8" x14ac:dyDescent="0.35">
      <c r="A235" s="7">
        <v>43699</v>
      </c>
      <c r="B235" s="8">
        <v>25.99</v>
      </c>
      <c r="D235" s="8">
        <v>26.34</v>
      </c>
      <c r="F235" s="8">
        <v>26.78</v>
      </c>
      <c r="H235" s="8">
        <v>27</v>
      </c>
    </row>
    <row r="236" spans="1:8" x14ac:dyDescent="0.35">
      <c r="A236" s="7">
        <v>43700</v>
      </c>
      <c r="B236" s="8">
        <v>25.19</v>
      </c>
      <c r="D236" s="8">
        <v>25.55</v>
      </c>
      <c r="F236" s="8">
        <v>25.97</v>
      </c>
      <c r="H236" s="8">
        <v>26.13</v>
      </c>
    </row>
    <row r="237" spans="1:8" x14ac:dyDescent="0.35">
      <c r="A237" s="7">
        <v>43701</v>
      </c>
      <c r="B237" s="8">
        <v>25.19</v>
      </c>
      <c r="D237" s="8">
        <v>25.55</v>
      </c>
      <c r="F237" s="8">
        <v>25.97</v>
      </c>
      <c r="H237" s="8">
        <v>26.13</v>
      </c>
    </row>
    <row r="238" spans="1:8" x14ac:dyDescent="0.35">
      <c r="A238" s="7">
        <v>43702</v>
      </c>
      <c r="B238" s="8">
        <v>25.19</v>
      </c>
      <c r="D238" s="8">
        <v>25.55</v>
      </c>
      <c r="F238" s="8">
        <v>25.97</v>
      </c>
      <c r="H238" s="8">
        <v>26.13</v>
      </c>
    </row>
    <row r="239" spans="1:8" x14ac:dyDescent="0.35">
      <c r="A239" s="7">
        <v>43703</v>
      </c>
      <c r="B239" s="8">
        <v>25.54</v>
      </c>
      <c r="D239" s="8">
        <v>25.77</v>
      </c>
      <c r="F239" s="8">
        <v>26.26</v>
      </c>
      <c r="H239" s="11">
        <v>26.97</v>
      </c>
    </row>
    <row r="240" spans="1:8" x14ac:dyDescent="0.35">
      <c r="A240" s="7">
        <v>43704</v>
      </c>
      <c r="B240" s="8">
        <v>25.4</v>
      </c>
      <c r="D240" s="8">
        <v>25.71</v>
      </c>
      <c r="F240" s="8">
        <v>26.07</v>
      </c>
      <c r="H240" s="11">
        <v>26.53</v>
      </c>
    </row>
    <row r="241" spans="1:8" x14ac:dyDescent="0.35">
      <c r="A241" s="7">
        <v>43705</v>
      </c>
      <c r="B241" s="8">
        <v>25.9</v>
      </c>
      <c r="D241" s="8">
        <v>26.16</v>
      </c>
      <c r="F241" s="8">
        <v>26.55</v>
      </c>
      <c r="H241" s="8">
        <v>26.79</v>
      </c>
    </row>
    <row r="242" spans="1:8" x14ac:dyDescent="0.35">
      <c r="A242" s="7">
        <v>43706</v>
      </c>
      <c r="B242" s="8">
        <v>26.11</v>
      </c>
      <c r="D242" s="8">
        <v>26.35</v>
      </c>
      <c r="F242" s="8">
        <v>26.66</v>
      </c>
      <c r="H242" s="8">
        <v>27.6</v>
      </c>
    </row>
    <row r="243" spans="1:8" x14ac:dyDescent="0.35">
      <c r="A243" s="7">
        <v>43707</v>
      </c>
      <c r="B243" s="8">
        <v>26.58</v>
      </c>
      <c r="D243" s="8">
        <v>26.91</v>
      </c>
      <c r="F243" s="8">
        <v>27.28</v>
      </c>
      <c r="H243" s="11">
        <v>27.37</v>
      </c>
    </row>
    <row r="244" spans="1:8" x14ac:dyDescent="0.35">
      <c r="A244" s="7">
        <v>43708</v>
      </c>
      <c r="B244" s="8">
        <v>26.58</v>
      </c>
      <c r="D244" s="8">
        <v>26.91</v>
      </c>
      <c r="F244" s="8">
        <v>27.28</v>
      </c>
      <c r="H244" s="11">
        <v>27.37</v>
      </c>
    </row>
    <row r="245" spans="1:8" x14ac:dyDescent="0.35">
      <c r="A245" s="7">
        <v>43709</v>
      </c>
      <c r="B245" s="8">
        <v>26.58</v>
      </c>
      <c r="D245" s="8">
        <v>26.91</v>
      </c>
      <c r="F245" s="8">
        <v>27.28</v>
      </c>
      <c r="H245" s="11">
        <v>27.37</v>
      </c>
    </row>
    <row r="246" spans="1:8" x14ac:dyDescent="0.35">
      <c r="A246" s="7">
        <v>43710</v>
      </c>
      <c r="B246" s="8">
        <v>25.53</v>
      </c>
      <c r="D246" s="8">
        <v>25.77</v>
      </c>
      <c r="F246" s="8">
        <v>26.05</v>
      </c>
      <c r="H246" s="8">
        <v>26.54</v>
      </c>
    </row>
    <row r="247" spans="1:8" x14ac:dyDescent="0.35">
      <c r="A247" s="7">
        <v>43711</v>
      </c>
      <c r="B247" s="8">
        <v>24.99</v>
      </c>
      <c r="D247" s="8">
        <v>25.23</v>
      </c>
      <c r="F247" s="8">
        <v>25.73</v>
      </c>
      <c r="H247" s="8">
        <v>26</v>
      </c>
    </row>
    <row r="248" spans="1:8" x14ac:dyDescent="0.35">
      <c r="A248" s="7">
        <v>43712</v>
      </c>
      <c r="B248" s="8">
        <v>25.75</v>
      </c>
      <c r="D248" s="8">
        <v>26.02</v>
      </c>
      <c r="F248" s="8">
        <v>26.42</v>
      </c>
      <c r="H248" s="11">
        <v>26.47</v>
      </c>
    </row>
    <row r="249" spans="1:8" x14ac:dyDescent="0.35">
      <c r="A249" s="7">
        <v>43713</v>
      </c>
      <c r="B249" s="8">
        <v>25.57</v>
      </c>
      <c r="D249" s="8">
        <v>25.81</v>
      </c>
      <c r="F249" s="8">
        <v>26.2</v>
      </c>
      <c r="H249" s="8">
        <v>26.56</v>
      </c>
    </row>
    <row r="250" spans="1:8" x14ac:dyDescent="0.35">
      <c r="A250" s="7">
        <v>43714</v>
      </c>
      <c r="B250" s="8">
        <v>25.17</v>
      </c>
      <c r="D250" s="8">
        <v>25.38</v>
      </c>
      <c r="F250" s="8">
        <v>25.78</v>
      </c>
      <c r="H250" s="8">
        <v>26.07</v>
      </c>
    </row>
    <row r="251" spans="1:8" x14ac:dyDescent="0.35">
      <c r="A251" s="7">
        <v>43715</v>
      </c>
      <c r="B251" s="8">
        <v>25.17</v>
      </c>
      <c r="D251" s="8">
        <v>25.38</v>
      </c>
      <c r="F251" s="8">
        <v>25.78</v>
      </c>
      <c r="H251" s="8">
        <v>26.07</v>
      </c>
    </row>
    <row r="252" spans="1:8" x14ac:dyDescent="0.35">
      <c r="A252" s="7">
        <v>43716</v>
      </c>
      <c r="B252" s="8">
        <v>25.17</v>
      </c>
      <c r="D252" s="8">
        <v>25.38</v>
      </c>
      <c r="F252" s="8">
        <v>25.78</v>
      </c>
      <c r="H252" s="8">
        <v>26.07</v>
      </c>
    </row>
    <row r="253" spans="1:8" x14ac:dyDescent="0.35">
      <c r="A253" s="7">
        <v>43717</v>
      </c>
      <c r="B253" s="8">
        <v>25.16</v>
      </c>
      <c r="D253" s="8">
        <v>25.39</v>
      </c>
      <c r="F253" s="8">
        <v>25.76</v>
      </c>
      <c r="H253" s="8">
        <v>26.02</v>
      </c>
    </row>
    <row r="254" spans="1:8" x14ac:dyDescent="0.35">
      <c r="A254" s="7">
        <v>43718</v>
      </c>
      <c r="B254" s="8">
        <v>25.76</v>
      </c>
      <c r="D254" s="8">
        <v>25.94</v>
      </c>
      <c r="F254" s="8">
        <v>26.17</v>
      </c>
      <c r="H254" s="8">
        <v>26.46</v>
      </c>
    </row>
    <row r="255" spans="1:8" x14ac:dyDescent="0.35">
      <c r="A255" s="7">
        <v>43719</v>
      </c>
      <c r="B255" s="8">
        <v>26.71</v>
      </c>
      <c r="D255" s="8">
        <v>27.07</v>
      </c>
      <c r="F255" s="8">
        <v>27.53</v>
      </c>
      <c r="H255" s="8">
        <v>27.73</v>
      </c>
    </row>
    <row r="256" spans="1:8" x14ac:dyDescent="0.35">
      <c r="A256" s="7">
        <v>43720</v>
      </c>
      <c r="B256" s="8">
        <v>26.59</v>
      </c>
      <c r="D256" s="8">
        <v>26.84</v>
      </c>
      <c r="F256" s="8">
        <v>27.31</v>
      </c>
      <c r="H256" s="8">
        <v>27.74</v>
      </c>
    </row>
    <row r="257" spans="1:8" x14ac:dyDescent="0.35">
      <c r="A257" s="7">
        <v>43721</v>
      </c>
      <c r="B257" s="8">
        <v>26.49</v>
      </c>
      <c r="D257" s="8">
        <v>26.66</v>
      </c>
      <c r="F257" s="8">
        <v>27.07</v>
      </c>
      <c r="H257" s="8">
        <v>27.41</v>
      </c>
    </row>
    <row r="258" spans="1:8" x14ac:dyDescent="0.35">
      <c r="A258" s="7">
        <v>43722</v>
      </c>
      <c r="B258" s="8">
        <v>26.49</v>
      </c>
      <c r="D258" s="8">
        <v>26.66</v>
      </c>
      <c r="F258" s="8">
        <v>27.07</v>
      </c>
      <c r="H258" s="8">
        <v>27.41</v>
      </c>
    </row>
    <row r="259" spans="1:8" x14ac:dyDescent="0.35">
      <c r="A259" s="7">
        <v>43723</v>
      </c>
      <c r="B259" s="8">
        <v>26.49</v>
      </c>
      <c r="D259" s="8">
        <v>26.66</v>
      </c>
      <c r="F259" s="8">
        <v>27.07</v>
      </c>
      <c r="H259" s="8">
        <v>27.41</v>
      </c>
    </row>
    <row r="260" spans="1:8" x14ac:dyDescent="0.35">
      <c r="A260" s="7">
        <v>43724</v>
      </c>
      <c r="B260" s="8">
        <v>26.88</v>
      </c>
      <c r="D260" s="8">
        <v>27.08</v>
      </c>
      <c r="F260" s="8">
        <v>27.48</v>
      </c>
      <c r="H260" s="8">
        <v>27.91</v>
      </c>
    </row>
    <row r="261" spans="1:8" x14ac:dyDescent="0.35">
      <c r="A261" s="7">
        <v>43725</v>
      </c>
      <c r="B261" s="8">
        <v>26.48</v>
      </c>
      <c r="D261" s="8">
        <v>26.84</v>
      </c>
      <c r="F261" s="8">
        <v>27.37</v>
      </c>
      <c r="H261" s="8">
        <v>27.76</v>
      </c>
    </row>
    <row r="262" spans="1:8" x14ac:dyDescent="0.35">
      <c r="A262" s="7">
        <v>43726</v>
      </c>
      <c r="B262" s="8">
        <v>25.57</v>
      </c>
      <c r="D262" s="8">
        <v>25.78</v>
      </c>
      <c r="F262" s="8">
        <v>26.2</v>
      </c>
      <c r="H262" s="8">
        <v>26.6</v>
      </c>
    </row>
    <row r="263" spans="1:8" x14ac:dyDescent="0.35">
      <c r="A263" s="7">
        <v>43727</v>
      </c>
      <c r="B263" s="8">
        <v>25.61</v>
      </c>
      <c r="D263" s="8">
        <v>25.88</v>
      </c>
      <c r="F263" s="8">
        <v>26.27</v>
      </c>
      <c r="H263" s="8">
        <v>26.72</v>
      </c>
    </row>
    <row r="264" spans="1:8" x14ac:dyDescent="0.35">
      <c r="A264" s="7">
        <v>43728</v>
      </c>
      <c r="B264" s="8">
        <v>26.45</v>
      </c>
      <c r="D264" s="8">
        <v>26.64</v>
      </c>
      <c r="F264" s="8">
        <v>27.02</v>
      </c>
      <c r="H264" s="8">
        <v>27.48</v>
      </c>
    </row>
    <row r="265" spans="1:8" x14ac:dyDescent="0.35">
      <c r="A265" s="7">
        <v>43729</v>
      </c>
      <c r="B265" s="8">
        <v>26.45</v>
      </c>
      <c r="D265" s="8">
        <v>26.64</v>
      </c>
      <c r="F265" s="8">
        <v>27.02</v>
      </c>
      <c r="H265" s="8">
        <v>27.48</v>
      </c>
    </row>
    <row r="266" spans="1:8" x14ac:dyDescent="0.35">
      <c r="A266" s="7">
        <v>43730</v>
      </c>
      <c r="B266" s="8">
        <v>26.45</v>
      </c>
      <c r="D266" s="8">
        <v>26.64</v>
      </c>
      <c r="F266" s="8">
        <v>27.02</v>
      </c>
      <c r="H266" s="8">
        <v>27.48</v>
      </c>
    </row>
    <row r="267" spans="1:8" x14ac:dyDescent="0.35">
      <c r="A267" s="7">
        <v>43731</v>
      </c>
      <c r="B267" s="8">
        <v>25.99</v>
      </c>
      <c r="D267" s="8">
        <v>26.22</v>
      </c>
      <c r="F267" s="8">
        <v>26.75</v>
      </c>
      <c r="H267" s="8">
        <v>26.84</v>
      </c>
    </row>
    <row r="268" spans="1:8" x14ac:dyDescent="0.35">
      <c r="A268" s="7">
        <v>43732</v>
      </c>
      <c r="B268" s="8">
        <v>25.69</v>
      </c>
      <c r="D268" s="8">
        <v>25.94</v>
      </c>
      <c r="F268" s="8">
        <v>26.36</v>
      </c>
      <c r="H268" s="8">
        <v>26.74</v>
      </c>
    </row>
    <row r="269" spans="1:8" x14ac:dyDescent="0.35">
      <c r="A269" s="7">
        <v>43733</v>
      </c>
      <c r="B269" s="8">
        <v>25.22</v>
      </c>
      <c r="D269" s="8">
        <v>25.46</v>
      </c>
      <c r="F269" s="8">
        <v>25.89</v>
      </c>
      <c r="H269" s="8">
        <v>26.34</v>
      </c>
    </row>
    <row r="270" spans="1:8" x14ac:dyDescent="0.35">
      <c r="A270" s="7">
        <v>43734</v>
      </c>
      <c r="B270" s="8">
        <v>25.37</v>
      </c>
      <c r="D270" s="8">
        <v>25.58</v>
      </c>
      <c r="F270" s="8">
        <v>25.95</v>
      </c>
      <c r="H270" s="8">
        <v>26.43</v>
      </c>
    </row>
    <row r="271" spans="1:8" x14ac:dyDescent="0.35">
      <c r="A271" s="7">
        <v>43735</v>
      </c>
      <c r="B271" s="8">
        <v>25.24</v>
      </c>
      <c r="D271" s="8">
        <v>25.52</v>
      </c>
      <c r="F271" s="8">
        <v>25.89</v>
      </c>
      <c r="H271" s="8">
        <v>26.3</v>
      </c>
    </row>
    <row r="272" spans="1:8" x14ac:dyDescent="0.35">
      <c r="A272" s="7">
        <v>43736</v>
      </c>
      <c r="B272" s="8">
        <v>25.24</v>
      </c>
      <c r="D272" s="8">
        <v>25.52</v>
      </c>
      <c r="F272" s="8">
        <v>25.89</v>
      </c>
      <c r="H272" s="8">
        <v>26.3</v>
      </c>
    </row>
    <row r="273" spans="1:8" x14ac:dyDescent="0.35">
      <c r="A273" s="7">
        <v>43737</v>
      </c>
      <c r="B273" s="8">
        <v>25.24</v>
      </c>
      <c r="D273" s="8">
        <v>25.52</v>
      </c>
      <c r="F273" s="8">
        <v>25.89</v>
      </c>
      <c r="H273" s="8">
        <v>26.3</v>
      </c>
    </row>
    <row r="274" spans="1:8" x14ac:dyDescent="0.35">
      <c r="A274" s="7">
        <v>43738</v>
      </c>
      <c r="B274" s="8">
        <v>25.04</v>
      </c>
      <c r="D274" s="8">
        <v>25.29</v>
      </c>
      <c r="F274" s="8">
        <v>25.77</v>
      </c>
      <c r="H274" s="8">
        <v>26.15</v>
      </c>
    </row>
    <row r="275" spans="1:8" x14ac:dyDescent="0.35">
      <c r="A275" s="7">
        <v>43739</v>
      </c>
      <c r="B275" s="8">
        <v>24.65</v>
      </c>
      <c r="D275" s="8">
        <v>24.78</v>
      </c>
      <c r="F275" s="8">
        <v>25.21</v>
      </c>
      <c r="H275" s="8">
        <v>25.9</v>
      </c>
    </row>
    <row r="276" spans="1:8" x14ac:dyDescent="0.35">
      <c r="A276" s="7">
        <v>43740</v>
      </c>
      <c r="B276" s="8">
        <v>24.53</v>
      </c>
      <c r="D276" s="8">
        <v>24.83</v>
      </c>
      <c r="F276" s="8">
        <v>25.29</v>
      </c>
      <c r="H276" s="8">
        <v>25.74</v>
      </c>
    </row>
    <row r="277" spans="1:8" x14ac:dyDescent="0.35">
      <c r="A277" s="7">
        <v>43741</v>
      </c>
      <c r="B277" s="8">
        <v>23.65</v>
      </c>
      <c r="D277" s="8">
        <v>23.87</v>
      </c>
      <c r="F277" s="8">
        <v>24.23</v>
      </c>
      <c r="H277" s="8">
        <v>24.7</v>
      </c>
    </row>
    <row r="278" spans="1:8" x14ac:dyDescent="0.35">
      <c r="A278" s="7">
        <v>43742</v>
      </c>
      <c r="B278" s="8">
        <v>23.26</v>
      </c>
      <c r="D278" s="8">
        <v>23.52</v>
      </c>
      <c r="F278" s="8">
        <v>23.95</v>
      </c>
      <c r="H278" s="8">
        <v>24.36</v>
      </c>
    </row>
    <row r="279" spans="1:8" x14ac:dyDescent="0.35">
      <c r="A279" s="7">
        <v>43743</v>
      </c>
      <c r="B279" s="8">
        <v>23.26</v>
      </c>
      <c r="D279" s="8">
        <v>23.52</v>
      </c>
      <c r="F279" s="8">
        <v>23.95</v>
      </c>
      <c r="H279" s="8">
        <v>24.36</v>
      </c>
    </row>
    <row r="280" spans="1:8" x14ac:dyDescent="0.35">
      <c r="A280" s="7">
        <v>43744</v>
      </c>
      <c r="B280" s="8">
        <v>23.26</v>
      </c>
      <c r="D280" s="8">
        <v>23.52</v>
      </c>
      <c r="F280" s="8">
        <v>23.95</v>
      </c>
      <c r="H280" s="8">
        <v>24.36</v>
      </c>
    </row>
    <row r="281" spans="1:8" x14ac:dyDescent="0.35">
      <c r="A281" s="7">
        <v>43745</v>
      </c>
      <c r="B281" s="8">
        <v>23.06</v>
      </c>
      <c r="D281" s="8">
        <v>23.23</v>
      </c>
      <c r="F281" s="8">
        <v>23.62</v>
      </c>
      <c r="H281" s="8">
        <v>24.04</v>
      </c>
    </row>
    <row r="282" spans="1:8" x14ac:dyDescent="0.35">
      <c r="A282" s="7">
        <v>43746</v>
      </c>
      <c r="B282" s="8">
        <v>23.08</v>
      </c>
      <c r="D282" s="8">
        <v>23.35</v>
      </c>
      <c r="F282" s="8">
        <v>23.85</v>
      </c>
      <c r="H282" s="8">
        <v>24.27</v>
      </c>
    </row>
    <row r="283" spans="1:8" x14ac:dyDescent="0.35">
      <c r="A283" s="7">
        <v>43747</v>
      </c>
      <c r="B283" s="8">
        <v>22.37</v>
      </c>
      <c r="D283" s="8">
        <v>22.52</v>
      </c>
      <c r="F283" s="8">
        <v>22.87</v>
      </c>
      <c r="H283" s="8">
        <v>23.3</v>
      </c>
    </row>
    <row r="284" spans="1:8" x14ac:dyDescent="0.35">
      <c r="A284" s="7">
        <v>43748</v>
      </c>
      <c r="B284" s="8">
        <v>22.83</v>
      </c>
      <c r="D284" s="8">
        <v>22.92</v>
      </c>
      <c r="F284" s="8">
        <v>23.27</v>
      </c>
      <c r="H284" s="8">
        <v>23.68</v>
      </c>
    </row>
    <row r="285" spans="1:8" x14ac:dyDescent="0.35">
      <c r="A285" s="7">
        <v>43749</v>
      </c>
      <c r="B285" s="8">
        <v>23.96</v>
      </c>
      <c r="D285" s="8">
        <v>24.13</v>
      </c>
      <c r="F285" s="8">
        <v>24.47</v>
      </c>
      <c r="H285" s="8">
        <v>24.78</v>
      </c>
    </row>
    <row r="286" spans="1:8" x14ac:dyDescent="0.35">
      <c r="A286" s="7">
        <v>43750</v>
      </c>
      <c r="B286" s="8">
        <v>23.96</v>
      </c>
      <c r="D286" s="8">
        <v>24.13</v>
      </c>
      <c r="F286" s="8">
        <v>24.47</v>
      </c>
      <c r="H286" s="8">
        <v>24.78</v>
      </c>
    </row>
    <row r="287" spans="1:8" x14ac:dyDescent="0.35">
      <c r="A287" s="7">
        <v>43751</v>
      </c>
      <c r="B287" s="8">
        <v>23.96</v>
      </c>
      <c r="D287" s="8">
        <v>24.13</v>
      </c>
      <c r="F287" s="8">
        <v>24.47</v>
      </c>
      <c r="H287" s="8">
        <v>24.78</v>
      </c>
    </row>
    <row r="288" spans="1:8" x14ac:dyDescent="0.35">
      <c r="A288" s="7">
        <v>43752</v>
      </c>
      <c r="B288" s="8">
        <v>23.88</v>
      </c>
      <c r="D288" s="8">
        <v>24.06</v>
      </c>
      <c r="F288" s="8">
        <v>24.35</v>
      </c>
      <c r="H288" s="8">
        <v>24.82</v>
      </c>
    </row>
    <row r="289" spans="1:8" x14ac:dyDescent="0.35">
      <c r="A289" s="7">
        <v>43753</v>
      </c>
      <c r="B289" s="8">
        <v>24.83</v>
      </c>
      <c r="D289" s="8">
        <v>24.82</v>
      </c>
      <c r="F289" s="8">
        <v>25.11</v>
      </c>
      <c r="H289" s="8">
        <v>25.47</v>
      </c>
    </row>
    <row r="290" spans="1:8" x14ac:dyDescent="0.35">
      <c r="A290" s="7">
        <v>43754</v>
      </c>
      <c r="B290" s="8">
        <v>25.86</v>
      </c>
      <c r="D290" s="8">
        <v>26.04</v>
      </c>
      <c r="F290" s="8">
        <v>26.27</v>
      </c>
      <c r="H290" s="8">
        <v>26.47</v>
      </c>
    </row>
    <row r="291" spans="1:8" x14ac:dyDescent="0.35">
      <c r="A291" s="7">
        <v>43755</v>
      </c>
      <c r="B291" s="8">
        <v>25.86</v>
      </c>
      <c r="D291" s="8">
        <v>26.05</v>
      </c>
      <c r="F291" s="8">
        <v>26.4</v>
      </c>
      <c r="H291" s="8">
        <v>26.63</v>
      </c>
    </row>
    <row r="292" spans="1:8" x14ac:dyDescent="0.35">
      <c r="A292" s="7">
        <v>43756</v>
      </c>
      <c r="B292" s="8">
        <v>25.77</v>
      </c>
      <c r="D292" s="8">
        <v>25.87</v>
      </c>
      <c r="F292" s="8">
        <v>26.25</v>
      </c>
      <c r="H292" s="8">
        <v>26.88</v>
      </c>
    </row>
    <row r="293" spans="1:8" x14ac:dyDescent="0.35">
      <c r="A293" s="7">
        <v>43757</v>
      </c>
      <c r="B293" s="8">
        <v>25.77</v>
      </c>
      <c r="D293" s="8">
        <v>25.87</v>
      </c>
      <c r="F293" s="8">
        <v>26.25</v>
      </c>
      <c r="H293" s="8">
        <v>26.88</v>
      </c>
    </row>
    <row r="294" spans="1:8" x14ac:dyDescent="0.35">
      <c r="A294" s="7">
        <v>43758</v>
      </c>
      <c r="B294" s="8">
        <v>25.77</v>
      </c>
      <c r="D294" s="8">
        <v>25.87</v>
      </c>
      <c r="F294" s="8">
        <v>26.25</v>
      </c>
      <c r="H294" s="8">
        <v>26.88</v>
      </c>
    </row>
    <row r="295" spans="1:8" x14ac:dyDescent="0.35">
      <c r="A295" s="7">
        <v>43759</v>
      </c>
      <c r="B295" s="8">
        <v>25.99</v>
      </c>
      <c r="D295" s="8">
        <v>26.23</v>
      </c>
      <c r="F295" s="8">
        <v>26.64</v>
      </c>
      <c r="H295" s="11">
        <v>26.83</v>
      </c>
    </row>
    <row r="296" spans="1:8" x14ac:dyDescent="0.35">
      <c r="A296" s="7">
        <v>43760</v>
      </c>
      <c r="B296" s="8">
        <v>25.71</v>
      </c>
      <c r="D296" s="8">
        <v>25.87</v>
      </c>
      <c r="F296" s="8">
        <v>26.23</v>
      </c>
      <c r="H296" s="8">
        <v>26.59</v>
      </c>
    </row>
    <row r="297" spans="1:8" x14ac:dyDescent="0.35">
      <c r="A297" s="7">
        <v>43761</v>
      </c>
      <c r="B297" s="8">
        <v>25.09</v>
      </c>
      <c r="D297" s="8">
        <v>25.26</v>
      </c>
      <c r="F297" s="8">
        <v>25.66</v>
      </c>
      <c r="H297" s="8">
        <v>26.05</v>
      </c>
    </row>
    <row r="298" spans="1:8" x14ac:dyDescent="0.35">
      <c r="A298" s="7">
        <v>43762</v>
      </c>
      <c r="B298" s="8">
        <v>24.99</v>
      </c>
      <c r="D298" s="8">
        <v>25.17</v>
      </c>
      <c r="F298" s="8">
        <v>25.63</v>
      </c>
      <c r="H298" s="8">
        <v>25.71</v>
      </c>
    </row>
    <row r="299" spans="1:8" x14ac:dyDescent="0.35">
      <c r="A299" s="7">
        <v>43763</v>
      </c>
      <c r="B299" s="8">
        <v>25.04</v>
      </c>
      <c r="D299" s="8">
        <v>25.2</v>
      </c>
      <c r="F299" s="8">
        <v>25.55</v>
      </c>
      <c r="H299" s="8">
        <v>25.92</v>
      </c>
    </row>
    <row r="300" spans="1:8" x14ac:dyDescent="0.35">
      <c r="A300" s="7">
        <v>43764</v>
      </c>
      <c r="B300" s="8">
        <v>25.04</v>
      </c>
      <c r="D300" s="8">
        <v>25.2</v>
      </c>
      <c r="F300" s="8">
        <v>25.55</v>
      </c>
      <c r="H300" s="8">
        <v>25.92</v>
      </c>
    </row>
    <row r="301" spans="1:8" x14ac:dyDescent="0.35">
      <c r="A301" s="7">
        <v>43765</v>
      </c>
      <c r="B301" s="8">
        <v>25.04</v>
      </c>
      <c r="D301" s="8">
        <v>25.2</v>
      </c>
      <c r="F301" s="8">
        <v>25.55</v>
      </c>
      <c r="H301" s="8">
        <v>25.92</v>
      </c>
    </row>
    <row r="302" spans="1:8" x14ac:dyDescent="0.35">
      <c r="A302" s="7">
        <v>43766</v>
      </c>
      <c r="B302" s="8">
        <v>24.86</v>
      </c>
      <c r="D302" s="8">
        <v>25.03</v>
      </c>
      <c r="F302" s="8">
        <v>25.4</v>
      </c>
      <c r="H302" s="8">
        <v>25.8</v>
      </c>
    </row>
    <row r="303" spans="1:8" x14ac:dyDescent="0.35">
      <c r="A303" s="7">
        <v>43767</v>
      </c>
      <c r="B303" s="8">
        <v>25.46</v>
      </c>
      <c r="D303" s="8">
        <v>25.58</v>
      </c>
      <c r="F303" s="8">
        <v>25.83</v>
      </c>
      <c r="H303" s="8">
        <v>26.27</v>
      </c>
    </row>
    <row r="304" spans="1:8" x14ac:dyDescent="0.35">
      <c r="A304" s="7">
        <v>43768</v>
      </c>
      <c r="B304" s="8">
        <v>25.8</v>
      </c>
      <c r="D304" s="8">
        <v>25.96</v>
      </c>
      <c r="F304" s="8">
        <v>26.25</v>
      </c>
      <c r="H304" s="8">
        <v>26.51</v>
      </c>
    </row>
    <row r="305" spans="1:8" x14ac:dyDescent="0.35">
      <c r="A305" s="7">
        <v>43769</v>
      </c>
      <c r="B305" s="8">
        <v>25.88</v>
      </c>
      <c r="D305" s="8">
        <v>26.08</v>
      </c>
      <c r="F305" s="8">
        <v>26.37</v>
      </c>
      <c r="H305" s="8">
        <v>26.63</v>
      </c>
    </row>
    <row r="306" spans="1:8" x14ac:dyDescent="0.35">
      <c r="A306" s="7">
        <v>43770</v>
      </c>
      <c r="B306" s="8">
        <v>25.88</v>
      </c>
      <c r="D306" s="8">
        <v>26.08</v>
      </c>
      <c r="F306" s="8">
        <v>26.37</v>
      </c>
      <c r="H306" s="8">
        <v>26.63</v>
      </c>
    </row>
    <row r="307" spans="1:8" x14ac:dyDescent="0.35">
      <c r="A307" s="7">
        <v>43771</v>
      </c>
      <c r="B307" s="8">
        <v>25.88</v>
      </c>
      <c r="D307" s="8">
        <v>26.08</v>
      </c>
      <c r="F307" s="8">
        <v>26.37</v>
      </c>
      <c r="H307" s="8">
        <v>26.63</v>
      </c>
    </row>
    <row r="308" spans="1:8" x14ac:dyDescent="0.35">
      <c r="A308" s="7">
        <v>43772</v>
      </c>
      <c r="B308" s="8">
        <v>25.88</v>
      </c>
      <c r="D308" s="8">
        <v>26.08</v>
      </c>
      <c r="F308" s="8">
        <v>26.37</v>
      </c>
      <c r="H308" s="8">
        <v>26.63</v>
      </c>
    </row>
    <row r="309" spans="1:8" x14ac:dyDescent="0.35">
      <c r="A309" s="7">
        <v>43773</v>
      </c>
      <c r="B309" s="8">
        <v>25.25</v>
      </c>
      <c r="D309" s="8">
        <v>25.33</v>
      </c>
      <c r="F309" s="8">
        <v>25.47</v>
      </c>
      <c r="H309" s="8">
        <v>25.78</v>
      </c>
    </row>
    <row r="310" spans="1:8" x14ac:dyDescent="0.35">
      <c r="A310" s="7">
        <v>43774</v>
      </c>
      <c r="B310" s="8">
        <v>25.72</v>
      </c>
      <c r="D310" s="8">
        <v>25.86</v>
      </c>
      <c r="F310" s="8">
        <v>26.05</v>
      </c>
      <c r="H310" s="8">
        <v>26.65</v>
      </c>
    </row>
    <row r="311" spans="1:8" x14ac:dyDescent="0.35">
      <c r="A311" s="7">
        <v>43775</v>
      </c>
      <c r="B311" s="8">
        <v>25.12</v>
      </c>
      <c r="D311" s="8">
        <v>25.29</v>
      </c>
      <c r="F311" s="8">
        <v>25.5</v>
      </c>
      <c r="H311" s="8">
        <v>25.94</v>
      </c>
    </row>
    <row r="312" spans="1:8" x14ac:dyDescent="0.35">
      <c r="A312" s="7">
        <v>43776</v>
      </c>
      <c r="B312" s="8">
        <v>25.01</v>
      </c>
      <c r="D312" s="8">
        <v>25.13</v>
      </c>
      <c r="F312" s="8">
        <v>25.47</v>
      </c>
      <c r="H312" s="8">
        <v>25.7</v>
      </c>
    </row>
    <row r="313" spans="1:8" x14ac:dyDescent="0.35">
      <c r="A313" s="7">
        <v>43777</v>
      </c>
      <c r="B313" s="8">
        <v>24.79</v>
      </c>
      <c r="D313" s="8">
        <v>24.93</v>
      </c>
      <c r="F313" s="8">
        <v>25.18</v>
      </c>
      <c r="H313" s="8">
        <v>25.49</v>
      </c>
    </row>
    <row r="314" spans="1:8" x14ac:dyDescent="0.35">
      <c r="A314" s="7">
        <v>43778</v>
      </c>
      <c r="B314" s="8">
        <v>24.79</v>
      </c>
      <c r="D314" s="8">
        <v>24.93</v>
      </c>
      <c r="F314" s="8">
        <v>25.18</v>
      </c>
      <c r="H314" s="8">
        <v>25.49</v>
      </c>
    </row>
    <row r="315" spans="1:8" x14ac:dyDescent="0.35">
      <c r="A315" s="7">
        <v>43779</v>
      </c>
      <c r="B315" s="8">
        <v>24.79</v>
      </c>
      <c r="D315" s="8">
        <v>24.93</v>
      </c>
      <c r="F315" s="8">
        <v>25.18</v>
      </c>
      <c r="H315" s="8">
        <v>25.49</v>
      </c>
    </row>
    <row r="316" spans="1:8" x14ac:dyDescent="0.35">
      <c r="A316" s="7">
        <v>43780</v>
      </c>
      <c r="B316" s="8">
        <v>24.79</v>
      </c>
      <c r="D316" s="8">
        <v>24.93</v>
      </c>
      <c r="F316" s="8">
        <v>25.18</v>
      </c>
      <c r="H316" s="8">
        <v>25.49</v>
      </c>
    </row>
    <row r="317" spans="1:8" x14ac:dyDescent="0.35">
      <c r="A317" s="7">
        <v>43781</v>
      </c>
      <c r="B317" s="8">
        <v>24.43</v>
      </c>
      <c r="D317" s="8">
        <v>24.53</v>
      </c>
      <c r="F317" s="8">
        <v>25.1</v>
      </c>
      <c r="H317" s="8">
        <v>25.18</v>
      </c>
    </row>
    <row r="318" spans="1:8" x14ac:dyDescent="0.35">
      <c r="A318" s="7">
        <v>43782</v>
      </c>
      <c r="B318" s="8">
        <v>24.25</v>
      </c>
      <c r="D318" s="8">
        <v>24.4</v>
      </c>
      <c r="F318" s="8">
        <v>24.62</v>
      </c>
      <c r="H318" s="8">
        <v>24.96</v>
      </c>
    </row>
    <row r="319" spans="1:8" x14ac:dyDescent="0.35">
      <c r="A319" s="7">
        <v>43783</v>
      </c>
      <c r="B319" s="8">
        <v>23.98</v>
      </c>
      <c r="D319" s="8">
        <v>24.06</v>
      </c>
      <c r="F319" s="8">
        <v>24.3</v>
      </c>
      <c r="H319" s="8">
        <v>24.72</v>
      </c>
    </row>
    <row r="320" spans="1:8" x14ac:dyDescent="0.35">
      <c r="A320" s="7">
        <v>43784</v>
      </c>
      <c r="B320" s="8">
        <v>23.64</v>
      </c>
      <c r="D320" s="8">
        <v>23.76</v>
      </c>
      <c r="F320" s="8">
        <v>24.02</v>
      </c>
      <c r="H320" s="8">
        <v>24.25</v>
      </c>
    </row>
    <row r="321" spans="1:8" x14ac:dyDescent="0.35">
      <c r="A321" s="7">
        <v>43785</v>
      </c>
      <c r="B321" s="8">
        <v>23.64</v>
      </c>
      <c r="D321" s="8">
        <v>23.76</v>
      </c>
      <c r="F321" s="8">
        <v>24.02</v>
      </c>
      <c r="H321" s="8">
        <v>24.25</v>
      </c>
    </row>
    <row r="322" spans="1:8" x14ac:dyDescent="0.35">
      <c r="A322" s="7">
        <v>43786</v>
      </c>
      <c r="B322" s="8">
        <v>23.64</v>
      </c>
      <c r="D322" s="8">
        <v>23.76</v>
      </c>
      <c r="F322" s="8">
        <v>24.02</v>
      </c>
      <c r="H322" s="8">
        <v>24.25</v>
      </c>
    </row>
    <row r="323" spans="1:8" x14ac:dyDescent="0.35">
      <c r="A323" s="7">
        <v>43787</v>
      </c>
      <c r="B323" s="8">
        <v>23.47</v>
      </c>
      <c r="D323" s="8">
        <v>23.6</v>
      </c>
      <c r="F323" s="8">
        <v>23.85</v>
      </c>
      <c r="H323" s="8">
        <v>24.16</v>
      </c>
    </row>
    <row r="324" spans="1:8" x14ac:dyDescent="0.35">
      <c r="A324" s="7">
        <v>43788</v>
      </c>
      <c r="B324" s="8">
        <v>23.52</v>
      </c>
      <c r="D324" s="8">
        <v>23.66</v>
      </c>
      <c r="F324" s="8">
        <v>24.02</v>
      </c>
      <c r="H324" s="8">
        <v>24.37</v>
      </c>
    </row>
    <row r="325" spans="1:8" x14ac:dyDescent="0.35">
      <c r="A325" s="7">
        <v>43789</v>
      </c>
      <c r="B325" s="8">
        <v>23.59</v>
      </c>
      <c r="D325" s="8">
        <v>23.61</v>
      </c>
      <c r="F325" s="8">
        <v>23.95</v>
      </c>
      <c r="H325" s="8">
        <v>24.31</v>
      </c>
    </row>
    <row r="326" spans="1:8" x14ac:dyDescent="0.35">
      <c r="A326" s="7">
        <v>43790</v>
      </c>
      <c r="B326" s="8">
        <v>24</v>
      </c>
      <c r="D326" s="8">
        <v>24.11</v>
      </c>
      <c r="F326" s="8">
        <v>24.4</v>
      </c>
      <c r="H326" s="8">
        <v>24.77</v>
      </c>
    </row>
    <row r="327" spans="1:8" x14ac:dyDescent="0.35">
      <c r="A327" s="7">
        <v>43791</v>
      </c>
      <c r="B327" s="8">
        <v>24.39</v>
      </c>
      <c r="D327" s="8">
        <v>24.54</v>
      </c>
      <c r="F327" s="8">
        <v>24.75</v>
      </c>
      <c r="H327" s="11">
        <v>25.31</v>
      </c>
    </row>
    <row r="328" spans="1:8" x14ac:dyDescent="0.35">
      <c r="A328" s="7">
        <v>43792</v>
      </c>
      <c r="B328" s="8">
        <v>24.39</v>
      </c>
      <c r="D328" s="8">
        <v>24.54</v>
      </c>
      <c r="F328" s="8">
        <v>24.75</v>
      </c>
      <c r="H328" s="11">
        <v>25.31</v>
      </c>
    </row>
    <row r="329" spans="1:8" x14ac:dyDescent="0.35">
      <c r="A329" s="7">
        <v>43793</v>
      </c>
      <c r="B329" s="8">
        <v>24.39</v>
      </c>
      <c r="D329" s="8">
        <v>24.54</v>
      </c>
      <c r="F329" s="8">
        <v>24.75</v>
      </c>
      <c r="H329" s="11">
        <v>25.31</v>
      </c>
    </row>
    <row r="330" spans="1:8" x14ac:dyDescent="0.35">
      <c r="A330" s="7">
        <v>43794</v>
      </c>
      <c r="B330" s="8">
        <v>24.51</v>
      </c>
      <c r="D330" s="8">
        <v>24.62</v>
      </c>
      <c r="F330" s="8">
        <v>24.83</v>
      </c>
      <c r="H330" s="8">
        <v>25.13</v>
      </c>
    </row>
    <row r="331" spans="1:8" x14ac:dyDescent="0.35">
      <c r="A331" s="7">
        <v>43795</v>
      </c>
      <c r="B331" s="8">
        <v>24.31</v>
      </c>
      <c r="D331" s="8">
        <v>24.46</v>
      </c>
      <c r="F331" s="8">
        <v>24.74</v>
      </c>
      <c r="H331" s="8">
        <v>25.06</v>
      </c>
    </row>
    <row r="332" spans="1:8" x14ac:dyDescent="0.35">
      <c r="A332" s="7">
        <v>43796</v>
      </c>
      <c r="B332" s="8">
        <v>24.79</v>
      </c>
      <c r="D332" s="8">
        <v>24.99</v>
      </c>
      <c r="F332" s="8">
        <v>25.17</v>
      </c>
      <c r="H332" s="8">
        <v>25.63</v>
      </c>
    </row>
    <row r="333" spans="1:8" x14ac:dyDescent="0.35">
      <c r="A333" s="7">
        <v>43797</v>
      </c>
      <c r="B333" s="8">
        <v>25.05</v>
      </c>
      <c r="D333" s="8">
        <v>25.17</v>
      </c>
      <c r="F333" s="8">
        <v>25.42</v>
      </c>
      <c r="H333" s="8">
        <v>25.73</v>
      </c>
    </row>
    <row r="334" spans="1:8" x14ac:dyDescent="0.35">
      <c r="A334" s="7">
        <v>43798</v>
      </c>
      <c r="B334" s="8">
        <v>25.03</v>
      </c>
      <c r="D334" s="8">
        <v>25.22</v>
      </c>
      <c r="F334" s="8">
        <v>25.41</v>
      </c>
      <c r="H334" s="8">
        <v>25.82</v>
      </c>
    </row>
    <row r="335" spans="1:8" x14ac:dyDescent="0.35">
      <c r="A335" s="7">
        <v>43799</v>
      </c>
      <c r="B335" s="8">
        <v>25.03</v>
      </c>
      <c r="D335" s="8">
        <v>25.22</v>
      </c>
      <c r="F335" s="8">
        <v>25.41</v>
      </c>
      <c r="H335" s="8">
        <v>25.82</v>
      </c>
    </row>
    <row r="336" spans="1:8" x14ac:dyDescent="0.35">
      <c r="A336" s="7">
        <v>43800</v>
      </c>
      <c r="B336" s="8">
        <v>25.03</v>
      </c>
      <c r="D336" s="8">
        <v>25.22</v>
      </c>
      <c r="F336" s="8">
        <v>25.41</v>
      </c>
      <c r="H336" s="8">
        <v>25.82</v>
      </c>
    </row>
    <row r="337" spans="1:8" x14ac:dyDescent="0.35">
      <c r="A337" s="7">
        <v>43801</v>
      </c>
      <c r="B337" s="8">
        <v>24.59</v>
      </c>
      <c r="D337" s="8">
        <v>24.69</v>
      </c>
      <c r="F337" s="8">
        <v>25.04</v>
      </c>
      <c r="H337" s="8">
        <v>25.42</v>
      </c>
    </row>
    <row r="338" spans="1:8" x14ac:dyDescent="0.35">
      <c r="A338" s="7">
        <v>43802</v>
      </c>
      <c r="B338" s="8">
        <v>24.25</v>
      </c>
      <c r="D338" s="8">
        <v>24.41</v>
      </c>
      <c r="F338" s="8">
        <v>24.74</v>
      </c>
      <c r="H338" s="8">
        <v>25.1</v>
      </c>
    </row>
    <row r="339" spans="1:8" x14ac:dyDescent="0.35">
      <c r="A339" s="7">
        <v>43803</v>
      </c>
      <c r="B339" s="8">
        <v>24.3</v>
      </c>
      <c r="D339" s="8">
        <v>24.47</v>
      </c>
      <c r="F339" s="8">
        <v>24.66</v>
      </c>
      <c r="H339" s="8">
        <v>25.25</v>
      </c>
    </row>
    <row r="340" spans="1:8" x14ac:dyDescent="0.35">
      <c r="A340" s="7">
        <v>43804</v>
      </c>
      <c r="B340" s="8">
        <v>24.47</v>
      </c>
      <c r="D340" s="8">
        <v>24.63</v>
      </c>
      <c r="F340" s="8">
        <v>24.88</v>
      </c>
      <c r="H340" s="8">
        <v>25.25</v>
      </c>
    </row>
    <row r="341" spans="1:8" x14ac:dyDescent="0.35">
      <c r="A341" s="7">
        <v>43805</v>
      </c>
      <c r="B341" s="8">
        <v>24.83</v>
      </c>
      <c r="D341" s="8">
        <v>25</v>
      </c>
      <c r="F341" s="8">
        <v>25.23</v>
      </c>
      <c r="H341" s="8">
        <v>25.6</v>
      </c>
    </row>
    <row r="342" spans="1:8" x14ac:dyDescent="0.35">
      <c r="A342" s="7">
        <v>43806</v>
      </c>
      <c r="B342" s="8">
        <v>24.83</v>
      </c>
      <c r="D342" s="8">
        <v>25</v>
      </c>
      <c r="F342" s="8">
        <v>25.23</v>
      </c>
      <c r="H342" s="8">
        <v>25.6</v>
      </c>
    </row>
    <row r="343" spans="1:8" x14ac:dyDescent="0.35">
      <c r="A343" s="7">
        <v>43807</v>
      </c>
      <c r="B343" s="8">
        <v>24.83</v>
      </c>
      <c r="D343" s="8">
        <v>25</v>
      </c>
      <c r="F343" s="8">
        <v>25.23</v>
      </c>
      <c r="H343" s="8">
        <v>25.6</v>
      </c>
    </row>
    <row r="344" spans="1:8" x14ac:dyDescent="0.35">
      <c r="A344" s="7">
        <v>43808</v>
      </c>
      <c r="B344" s="8">
        <v>24.81</v>
      </c>
      <c r="D344" s="8">
        <v>24.98</v>
      </c>
      <c r="F344" s="8">
        <v>25.39</v>
      </c>
      <c r="H344" s="8">
        <v>25.53</v>
      </c>
    </row>
    <row r="345" spans="1:8" x14ac:dyDescent="0.35">
      <c r="A345" s="7">
        <v>43809</v>
      </c>
      <c r="B345" s="8">
        <v>25</v>
      </c>
      <c r="D345" s="8">
        <v>25.17</v>
      </c>
      <c r="F345" s="8">
        <v>25.44</v>
      </c>
      <c r="H345" s="8">
        <v>25.71</v>
      </c>
    </row>
    <row r="346" spans="1:8" x14ac:dyDescent="0.35">
      <c r="A346" s="7">
        <v>43810</v>
      </c>
      <c r="B346" s="8">
        <v>24.88</v>
      </c>
      <c r="D346" s="8">
        <v>25.11</v>
      </c>
      <c r="F346" s="8">
        <v>25.4</v>
      </c>
      <c r="H346" s="8">
        <v>25.76</v>
      </c>
    </row>
    <row r="347" spans="1:8" x14ac:dyDescent="0.35">
      <c r="A347" s="7">
        <v>43811</v>
      </c>
      <c r="B347" s="8">
        <v>24.54</v>
      </c>
      <c r="D347" s="8">
        <v>24.76</v>
      </c>
      <c r="F347" s="8">
        <v>24.96</v>
      </c>
      <c r="H347" s="8">
        <v>25.34</v>
      </c>
    </row>
    <row r="348" spans="1:8" x14ac:dyDescent="0.35">
      <c r="A348" s="7">
        <v>43812</v>
      </c>
      <c r="B348" s="8">
        <v>25.03</v>
      </c>
      <c r="D348" s="8">
        <v>25.18</v>
      </c>
      <c r="F348" s="8">
        <v>25.43</v>
      </c>
      <c r="H348" s="8">
        <v>25.88</v>
      </c>
    </row>
    <row r="349" spans="1:8" x14ac:dyDescent="0.35">
      <c r="A349" s="7">
        <v>43813</v>
      </c>
      <c r="B349" s="8">
        <v>25.03</v>
      </c>
      <c r="D349" s="8">
        <v>25.18</v>
      </c>
      <c r="F349" s="8">
        <v>25.43</v>
      </c>
      <c r="H349" s="8">
        <v>25.88</v>
      </c>
    </row>
    <row r="350" spans="1:8" x14ac:dyDescent="0.35">
      <c r="A350" s="7">
        <v>43814</v>
      </c>
      <c r="B350" s="8">
        <v>25.03</v>
      </c>
      <c r="D350" s="8">
        <v>25.18</v>
      </c>
      <c r="F350" s="8">
        <v>25.43</v>
      </c>
      <c r="H350" s="8">
        <v>25.88</v>
      </c>
    </row>
    <row r="351" spans="1:8" x14ac:dyDescent="0.35">
      <c r="A351" s="7">
        <v>43815</v>
      </c>
      <c r="D351" s="8">
        <v>24.4</v>
      </c>
      <c r="F351" s="8">
        <v>24.6</v>
      </c>
      <c r="H351" s="8">
        <v>25.06</v>
      </c>
    </row>
    <row r="352" spans="1:8" x14ac:dyDescent="0.35">
      <c r="A352" s="7">
        <v>43816</v>
      </c>
      <c r="D352" s="8">
        <v>25.61</v>
      </c>
      <c r="F352" s="8">
        <v>25.84</v>
      </c>
      <c r="H352" s="8">
        <v>26.09</v>
      </c>
    </row>
    <row r="353" spans="1:8" x14ac:dyDescent="0.35">
      <c r="A353" s="7">
        <v>43817</v>
      </c>
      <c r="D353" s="8">
        <v>26.34</v>
      </c>
      <c r="F353" s="8">
        <v>26.58</v>
      </c>
      <c r="H353" s="8">
        <v>26.64</v>
      </c>
    </row>
    <row r="354" spans="1:8" x14ac:dyDescent="0.35">
      <c r="A354" s="7">
        <v>43818</v>
      </c>
      <c r="D354" s="8">
        <v>26.72</v>
      </c>
      <c r="F354" s="8">
        <v>27</v>
      </c>
      <c r="H354" s="8">
        <v>27.32</v>
      </c>
    </row>
    <row r="355" spans="1:8" x14ac:dyDescent="0.35">
      <c r="A355" s="7">
        <v>43819</v>
      </c>
      <c r="D355" s="8">
        <v>26.37</v>
      </c>
      <c r="F355" s="8">
        <v>26.61</v>
      </c>
      <c r="H355" s="8">
        <v>26.67</v>
      </c>
    </row>
    <row r="356" spans="1:8" x14ac:dyDescent="0.35">
      <c r="A356" s="7">
        <v>43820</v>
      </c>
      <c r="D356" s="8">
        <v>26.37</v>
      </c>
      <c r="F356" s="8">
        <v>26.61</v>
      </c>
      <c r="H356" s="8">
        <v>26.67</v>
      </c>
    </row>
    <row r="357" spans="1:8" x14ac:dyDescent="0.35">
      <c r="A357" s="7">
        <v>43821</v>
      </c>
      <c r="D357" s="8">
        <v>26.37</v>
      </c>
      <c r="F357" s="8">
        <v>26.61</v>
      </c>
      <c r="H357" s="8">
        <v>26.67</v>
      </c>
    </row>
    <row r="358" spans="1:8" x14ac:dyDescent="0.35">
      <c r="A358" s="7">
        <v>43822</v>
      </c>
      <c r="D358" s="8">
        <v>26.91</v>
      </c>
      <c r="F358" s="8">
        <v>27.18</v>
      </c>
      <c r="H358" s="8">
        <v>27.57</v>
      </c>
    </row>
    <row r="359" spans="1:8" x14ac:dyDescent="0.35">
      <c r="A359" s="7">
        <v>43823</v>
      </c>
      <c r="D359" s="8">
        <v>26.09</v>
      </c>
      <c r="F359" s="8">
        <v>26.11</v>
      </c>
      <c r="H359" s="11">
        <v>26.62</v>
      </c>
    </row>
    <row r="360" spans="1:8" x14ac:dyDescent="0.35">
      <c r="A360" s="7">
        <v>43824</v>
      </c>
      <c r="D360" s="8">
        <v>26.09</v>
      </c>
      <c r="F360" s="8">
        <v>26.11</v>
      </c>
      <c r="H360" s="11">
        <v>26.62</v>
      </c>
    </row>
    <row r="361" spans="1:8" x14ac:dyDescent="0.35">
      <c r="A361" s="7">
        <v>43825</v>
      </c>
      <c r="D361" s="8">
        <v>26.09</v>
      </c>
      <c r="F361" s="8">
        <v>26.11</v>
      </c>
      <c r="H361" s="11">
        <v>26.62</v>
      </c>
    </row>
    <row r="362" spans="1:8" x14ac:dyDescent="0.35">
      <c r="A362" s="7">
        <v>43826</v>
      </c>
      <c r="D362" s="8">
        <v>26.62</v>
      </c>
      <c r="F362" s="8">
        <v>26.78</v>
      </c>
      <c r="H362" s="11">
        <v>27.25</v>
      </c>
    </row>
    <row r="363" spans="1:8" x14ac:dyDescent="0.35">
      <c r="A363" s="7">
        <v>43827</v>
      </c>
      <c r="D363" s="8">
        <v>26.62</v>
      </c>
      <c r="F363" s="8">
        <v>26.78</v>
      </c>
      <c r="H363" s="11">
        <v>27.25</v>
      </c>
    </row>
    <row r="364" spans="1:8" x14ac:dyDescent="0.35">
      <c r="A364" s="7">
        <v>43828</v>
      </c>
      <c r="D364" s="8">
        <v>26.62</v>
      </c>
      <c r="F364" s="8">
        <v>26.78</v>
      </c>
      <c r="H364" s="11">
        <v>27.25</v>
      </c>
    </row>
    <row r="365" spans="1:8" x14ac:dyDescent="0.35">
      <c r="A365" s="7">
        <v>43829</v>
      </c>
      <c r="D365" s="8">
        <v>25.79</v>
      </c>
      <c r="F365" s="8">
        <v>26.23</v>
      </c>
      <c r="H365" s="8">
        <v>26.61</v>
      </c>
    </row>
    <row r="366" spans="1:8" x14ac:dyDescent="0.35">
      <c r="A366" s="7">
        <v>43830</v>
      </c>
      <c r="D366" s="8">
        <v>25.01</v>
      </c>
      <c r="F366" s="8">
        <v>25</v>
      </c>
      <c r="H366" s="8">
        <v>25.18</v>
      </c>
    </row>
    <row r="367" spans="1:8" x14ac:dyDescent="0.35">
      <c r="A367" s="7">
        <v>43831</v>
      </c>
      <c r="D367" s="8">
        <v>25.01</v>
      </c>
      <c r="F367" s="8">
        <v>25</v>
      </c>
      <c r="H367" s="8">
        <v>25.18</v>
      </c>
    </row>
    <row r="368" spans="1:8" x14ac:dyDescent="0.35">
      <c r="A368" s="7">
        <v>43832</v>
      </c>
      <c r="D368" s="8">
        <v>24.46</v>
      </c>
      <c r="F368" s="8">
        <v>24.66</v>
      </c>
      <c r="H368" s="11">
        <v>24.9</v>
      </c>
    </row>
    <row r="369" spans="1:14" x14ac:dyDescent="0.35">
      <c r="A369" s="7">
        <v>43833</v>
      </c>
      <c r="D369" s="11">
        <v>24.46</v>
      </c>
      <c r="F369" s="11">
        <v>24.66</v>
      </c>
      <c r="H369" s="11">
        <v>24.9</v>
      </c>
      <c r="N369" s="11"/>
    </row>
    <row r="370" spans="1:14" x14ac:dyDescent="0.35">
      <c r="A370" s="7">
        <v>43834</v>
      </c>
      <c r="D370" s="11">
        <v>24.46</v>
      </c>
      <c r="F370" s="11">
        <v>24.66</v>
      </c>
      <c r="H370" s="11">
        <v>24.9</v>
      </c>
      <c r="N370" s="11"/>
    </row>
    <row r="371" spans="1:14" x14ac:dyDescent="0.35">
      <c r="A371" s="7">
        <v>43835</v>
      </c>
      <c r="D371" s="11">
        <v>24.46</v>
      </c>
      <c r="F371" s="11">
        <v>24.66</v>
      </c>
      <c r="H371" s="11">
        <v>24.9</v>
      </c>
      <c r="N371" s="11"/>
    </row>
    <row r="372" spans="1:14" x14ac:dyDescent="0.35">
      <c r="A372" s="7">
        <v>43836</v>
      </c>
      <c r="D372" s="11">
        <v>24.46</v>
      </c>
      <c r="F372" s="11">
        <v>24.66</v>
      </c>
      <c r="H372" s="11">
        <v>24.9</v>
      </c>
      <c r="N372" s="11"/>
    </row>
    <row r="373" spans="1:14" x14ac:dyDescent="0.35">
      <c r="A373" s="7">
        <v>43837</v>
      </c>
      <c r="D373" s="8">
        <v>24.27</v>
      </c>
      <c r="F373" s="8">
        <v>24.5</v>
      </c>
      <c r="H373" s="8">
        <v>24.7</v>
      </c>
    </row>
    <row r="374" spans="1:14" x14ac:dyDescent="0.35">
      <c r="A374" s="7">
        <v>43838</v>
      </c>
      <c r="D374" s="8">
        <v>24.27</v>
      </c>
      <c r="F374" s="8">
        <v>24.46</v>
      </c>
      <c r="H374" s="8">
        <v>24.7</v>
      </c>
    </row>
    <row r="375" spans="1:14" x14ac:dyDescent="0.35">
      <c r="A375" s="7">
        <v>43839</v>
      </c>
      <c r="D375" s="8">
        <v>24.42</v>
      </c>
      <c r="F375" s="8">
        <v>24.49</v>
      </c>
      <c r="H375" s="8">
        <v>25.19</v>
      </c>
    </row>
    <row r="376" spans="1:14" x14ac:dyDescent="0.35">
      <c r="A376" s="7">
        <v>43840</v>
      </c>
      <c r="D376" s="8">
        <v>24.49</v>
      </c>
      <c r="F376" s="8">
        <v>24.71</v>
      </c>
      <c r="H376" s="8">
        <v>24.75</v>
      </c>
    </row>
    <row r="377" spans="1:14" x14ac:dyDescent="0.35">
      <c r="A377" s="7">
        <v>43841</v>
      </c>
      <c r="D377" s="8">
        <v>24.49</v>
      </c>
      <c r="F377" s="8">
        <v>24.71</v>
      </c>
      <c r="H377" s="8">
        <v>24.75</v>
      </c>
    </row>
    <row r="378" spans="1:14" x14ac:dyDescent="0.35">
      <c r="A378" s="7">
        <v>43842</v>
      </c>
      <c r="D378" s="8">
        <v>24.49</v>
      </c>
      <c r="F378" s="8">
        <v>24.71</v>
      </c>
      <c r="H378" s="8">
        <v>24.75</v>
      </c>
    </row>
    <row r="379" spans="1:14" x14ac:dyDescent="0.35">
      <c r="A379" s="7">
        <v>43843</v>
      </c>
      <c r="D379" s="8">
        <v>24.2</v>
      </c>
      <c r="F379" s="8">
        <v>24.46</v>
      </c>
      <c r="H379" s="8">
        <v>24.61</v>
      </c>
    </row>
    <row r="380" spans="1:14" x14ac:dyDescent="0.35">
      <c r="A380" s="7">
        <v>43844</v>
      </c>
      <c r="D380" s="8">
        <v>23.78</v>
      </c>
      <c r="F380" s="8">
        <v>23.95</v>
      </c>
      <c r="H380" s="8">
        <v>24.24</v>
      </c>
    </row>
    <row r="381" spans="1:14" x14ac:dyDescent="0.35">
      <c r="A381" s="7">
        <v>43845</v>
      </c>
      <c r="D381" s="8">
        <v>24.23</v>
      </c>
      <c r="F381" s="8">
        <v>24.49</v>
      </c>
      <c r="H381" s="8">
        <v>24.96</v>
      </c>
    </row>
    <row r="382" spans="1:14" x14ac:dyDescent="0.35">
      <c r="A382" s="7">
        <v>43846</v>
      </c>
      <c r="D382" s="8">
        <v>24.83</v>
      </c>
      <c r="F382" s="8">
        <v>25.05</v>
      </c>
      <c r="H382" s="8">
        <v>25.32</v>
      </c>
    </row>
    <row r="383" spans="1:14" x14ac:dyDescent="0.35">
      <c r="A383" s="7">
        <v>43847</v>
      </c>
      <c r="D383" s="8">
        <v>25.27</v>
      </c>
      <c r="F383" s="8">
        <v>25.51</v>
      </c>
      <c r="H383" s="8">
        <v>25.73</v>
      </c>
    </row>
    <row r="384" spans="1:14" x14ac:dyDescent="0.35">
      <c r="A384" s="7">
        <v>43848</v>
      </c>
      <c r="D384" s="8">
        <v>25.27</v>
      </c>
      <c r="F384" s="8">
        <v>25.51</v>
      </c>
      <c r="H384" s="8">
        <v>25.73</v>
      </c>
    </row>
    <row r="385" spans="1:8" x14ac:dyDescent="0.35">
      <c r="A385" s="7">
        <v>43849</v>
      </c>
      <c r="D385" s="8">
        <v>25.27</v>
      </c>
      <c r="F385" s="8">
        <v>25.51</v>
      </c>
      <c r="H385" s="8">
        <v>25.73</v>
      </c>
    </row>
    <row r="386" spans="1:8" x14ac:dyDescent="0.35">
      <c r="A386" s="7">
        <v>43850</v>
      </c>
      <c r="D386" s="8">
        <v>25.47</v>
      </c>
      <c r="F386" s="8">
        <v>25.79</v>
      </c>
      <c r="H386" s="8">
        <v>25.91</v>
      </c>
    </row>
    <row r="387" spans="1:8" x14ac:dyDescent="0.35">
      <c r="A387" s="7">
        <v>43851</v>
      </c>
      <c r="D387" s="8">
        <v>25.07</v>
      </c>
      <c r="F387" s="8">
        <v>25.24</v>
      </c>
      <c r="H387" s="8">
        <v>25.7</v>
      </c>
    </row>
    <row r="388" spans="1:8" x14ac:dyDescent="0.35">
      <c r="A388" s="7">
        <v>43852</v>
      </c>
      <c r="D388" s="8">
        <v>25.18</v>
      </c>
      <c r="F388" s="8">
        <v>25.51</v>
      </c>
      <c r="H388" s="8">
        <v>25.83</v>
      </c>
    </row>
    <row r="389" spans="1:8" x14ac:dyDescent="0.35">
      <c r="A389" s="7">
        <v>43853</v>
      </c>
      <c r="D389" s="8">
        <v>24.66</v>
      </c>
      <c r="F389" s="8">
        <v>24.88</v>
      </c>
      <c r="H389" s="8">
        <v>25.18</v>
      </c>
    </row>
    <row r="390" spans="1:8" x14ac:dyDescent="0.35">
      <c r="A390" s="7">
        <v>43854</v>
      </c>
      <c r="D390" s="8">
        <v>24.47</v>
      </c>
      <c r="F390" s="8">
        <v>24.62</v>
      </c>
      <c r="H390" s="8">
        <v>25.03</v>
      </c>
    </row>
    <row r="391" spans="1:8" x14ac:dyDescent="0.35">
      <c r="A391" s="7">
        <v>43855</v>
      </c>
      <c r="D391" s="8">
        <v>24.47</v>
      </c>
      <c r="F391" s="8">
        <v>24.62</v>
      </c>
      <c r="H391" s="8">
        <v>25.03</v>
      </c>
    </row>
    <row r="392" spans="1:8" x14ac:dyDescent="0.35">
      <c r="A392" s="7">
        <v>43856</v>
      </c>
      <c r="D392" s="8">
        <v>24.47</v>
      </c>
      <c r="F392" s="8">
        <v>24.62</v>
      </c>
      <c r="H392" s="8">
        <v>25.03</v>
      </c>
    </row>
    <row r="393" spans="1:8" x14ac:dyDescent="0.35">
      <c r="A393" s="7">
        <v>43857</v>
      </c>
      <c r="D393" s="8">
        <v>24.3</v>
      </c>
      <c r="F393" s="8">
        <v>24.43</v>
      </c>
      <c r="H393" s="8">
        <v>24.76</v>
      </c>
    </row>
    <row r="394" spans="1:8" x14ac:dyDescent="0.35">
      <c r="A394" s="7">
        <v>43858</v>
      </c>
      <c r="D394" s="8">
        <v>24.55</v>
      </c>
      <c r="F394" s="8">
        <v>24.68</v>
      </c>
      <c r="H394" s="8">
        <v>25.05</v>
      </c>
    </row>
    <row r="395" spans="1:8" x14ac:dyDescent="0.35">
      <c r="A395" s="7">
        <v>43859</v>
      </c>
      <c r="D395" s="8">
        <v>24.17</v>
      </c>
      <c r="F395" s="8">
        <v>24.34</v>
      </c>
      <c r="H395" s="8">
        <v>24.53</v>
      </c>
    </row>
    <row r="396" spans="1:8" x14ac:dyDescent="0.35">
      <c r="A396" s="7">
        <v>43860</v>
      </c>
      <c r="D396" s="8">
        <v>23.69</v>
      </c>
      <c r="F396" s="8">
        <v>23.87</v>
      </c>
      <c r="H396" s="8">
        <v>24.01</v>
      </c>
    </row>
    <row r="397" spans="1:8" x14ac:dyDescent="0.35">
      <c r="A397" s="7">
        <v>43861</v>
      </c>
      <c r="D397" s="8">
        <v>23.72</v>
      </c>
      <c r="F397" s="8">
        <v>23.9</v>
      </c>
      <c r="H397" s="8">
        <v>23.98</v>
      </c>
    </row>
    <row r="398" spans="1:8" x14ac:dyDescent="0.35">
      <c r="A398" s="7">
        <v>43862</v>
      </c>
      <c r="D398" s="8">
        <v>23.72</v>
      </c>
      <c r="F398" s="8">
        <v>23.9</v>
      </c>
      <c r="H398" s="8">
        <v>23.98</v>
      </c>
    </row>
    <row r="399" spans="1:8" x14ac:dyDescent="0.35">
      <c r="A399" s="7">
        <v>43863</v>
      </c>
      <c r="D399" s="8">
        <v>23.72</v>
      </c>
      <c r="F399" s="8">
        <v>23.9</v>
      </c>
      <c r="H399" s="8">
        <v>23.98</v>
      </c>
    </row>
    <row r="400" spans="1:8" x14ac:dyDescent="0.35">
      <c r="A400" s="7">
        <v>43864</v>
      </c>
      <c r="D400" s="8">
        <v>23.28</v>
      </c>
      <c r="F400" s="8">
        <v>23.46</v>
      </c>
      <c r="H400" s="8">
        <v>23.63</v>
      </c>
    </row>
    <row r="401" spans="1:8" x14ac:dyDescent="0.35">
      <c r="A401" s="7">
        <v>43865</v>
      </c>
      <c r="D401" s="8">
        <v>23.21</v>
      </c>
      <c r="F401" s="8">
        <v>23.39</v>
      </c>
      <c r="H401" s="8">
        <v>23.66</v>
      </c>
    </row>
    <row r="402" spans="1:8" x14ac:dyDescent="0.35">
      <c r="A402" s="7">
        <v>43866</v>
      </c>
      <c r="D402" s="8">
        <v>23.42</v>
      </c>
      <c r="F402" s="8">
        <v>23.63</v>
      </c>
      <c r="H402" s="8">
        <v>23.82</v>
      </c>
    </row>
    <row r="403" spans="1:8" x14ac:dyDescent="0.35">
      <c r="A403" s="7">
        <v>43867</v>
      </c>
      <c r="D403" s="8">
        <v>23.47</v>
      </c>
      <c r="F403" s="8">
        <v>23.63</v>
      </c>
      <c r="H403" s="8">
        <v>23.77</v>
      </c>
    </row>
    <row r="404" spans="1:8" x14ac:dyDescent="0.35">
      <c r="A404" s="7">
        <v>43868</v>
      </c>
      <c r="D404" s="8">
        <v>23.42</v>
      </c>
      <c r="F404" s="8">
        <v>23.62</v>
      </c>
      <c r="H404" s="8">
        <v>23.93</v>
      </c>
    </row>
    <row r="405" spans="1:8" x14ac:dyDescent="0.35">
      <c r="A405" s="7">
        <v>43869</v>
      </c>
      <c r="D405" s="8">
        <v>23.42</v>
      </c>
      <c r="F405" s="8">
        <v>23.62</v>
      </c>
      <c r="H405" s="8">
        <v>23.93</v>
      </c>
    </row>
    <row r="406" spans="1:8" x14ac:dyDescent="0.35">
      <c r="A406" s="7">
        <v>43870</v>
      </c>
      <c r="D406" s="8">
        <v>23.42</v>
      </c>
      <c r="F406" s="8">
        <v>23.62</v>
      </c>
      <c r="H406" s="8">
        <v>23.93</v>
      </c>
    </row>
    <row r="407" spans="1:8" x14ac:dyDescent="0.35">
      <c r="A407" s="7">
        <v>43871</v>
      </c>
      <c r="D407" s="8">
        <v>23.06</v>
      </c>
      <c r="F407" s="8">
        <v>23.27</v>
      </c>
      <c r="H407" s="8">
        <v>23.47</v>
      </c>
    </row>
    <row r="408" spans="1:8" x14ac:dyDescent="0.35">
      <c r="A408" s="7">
        <v>43872</v>
      </c>
      <c r="D408" s="8">
        <v>23.34</v>
      </c>
      <c r="F408" s="8">
        <v>23.48</v>
      </c>
      <c r="H408" s="8">
        <v>23.79</v>
      </c>
    </row>
    <row r="409" spans="1:8" x14ac:dyDescent="0.35">
      <c r="A409" s="7">
        <v>43873</v>
      </c>
      <c r="D409" s="8">
        <v>23.62</v>
      </c>
      <c r="F409" s="8">
        <v>23.78</v>
      </c>
      <c r="H409" s="8">
        <v>24.1</v>
      </c>
    </row>
    <row r="410" spans="1:8" x14ac:dyDescent="0.35">
      <c r="A410" s="7">
        <v>43874</v>
      </c>
      <c r="D410" s="8">
        <v>24.04</v>
      </c>
      <c r="F410" s="8">
        <v>24.14</v>
      </c>
      <c r="H410" s="8">
        <v>24.39</v>
      </c>
    </row>
    <row r="411" spans="1:8" x14ac:dyDescent="0.35">
      <c r="A411" s="7">
        <v>43875</v>
      </c>
      <c r="D411" s="8">
        <v>24.38</v>
      </c>
      <c r="F411" s="8">
        <v>24.56</v>
      </c>
      <c r="H411" s="8">
        <v>24.69</v>
      </c>
    </row>
    <row r="412" spans="1:8" x14ac:dyDescent="0.35">
      <c r="A412" s="7">
        <v>43876</v>
      </c>
      <c r="D412" s="8">
        <v>24.38</v>
      </c>
      <c r="F412" s="8">
        <v>24.56</v>
      </c>
      <c r="H412" s="8">
        <v>24.69</v>
      </c>
    </row>
    <row r="413" spans="1:8" x14ac:dyDescent="0.35">
      <c r="A413" s="7">
        <v>43877</v>
      </c>
      <c r="D413" s="8">
        <v>24.38</v>
      </c>
      <c r="F413" s="8">
        <v>24.56</v>
      </c>
      <c r="H413" s="8">
        <v>24.69</v>
      </c>
    </row>
    <row r="414" spans="1:8" x14ac:dyDescent="0.35">
      <c r="A414" s="7">
        <v>43878</v>
      </c>
      <c r="D414" s="8">
        <v>24.49</v>
      </c>
      <c r="F414" s="8">
        <v>24.57</v>
      </c>
      <c r="H414" s="8">
        <v>24.74</v>
      </c>
    </row>
    <row r="415" spans="1:8" x14ac:dyDescent="0.35">
      <c r="A415" s="7">
        <v>43879</v>
      </c>
      <c r="D415" s="8">
        <v>25.01</v>
      </c>
      <c r="F415" s="8">
        <v>25.17</v>
      </c>
      <c r="H415" s="8">
        <v>25.39</v>
      </c>
    </row>
    <row r="416" spans="1:8" x14ac:dyDescent="0.35">
      <c r="A416" s="7">
        <v>43880</v>
      </c>
      <c r="D416" s="8">
        <v>25.37</v>
      </c>
      <c r="F416" s="8">
        <v>25.51</v>
      </c>
      <c r="H416" s="8">
        <v>25.67</v>
      </c>
    </row>
    <row r="417" spans="1:8" x14ac:dyDescent="0.35">
      <c r="A417" s="7">
        <v>43881</v>
      </c>
      <c r="D417" s="8">
        <v>25.64</v>
      </c>
      <c r="F417" s="8">
        <v>25.8</v>
      </c>
      <c r="H417" s="8">
        <v>25.98</v>
      </c>
    </row>
    <row r="418" spans="1:8" x14ac:dyDescent="0.35">
      <c r="A418" s="7">
        <v>43882</v>
      </c>
      <c r="D418" s="8">
        <v>25.4</v>
      </c>
      <c r="F418" s="8">
        <v>25.55</v>
      </c>
      <c r="H418" s="8">
        <v>25.89</v>
      </c>
    </row>
    <row r="419" spans="1:8" x14ac:dyDescent="0.35">
      <c r="A419" s="7">
        <v>43883</v>
      </c>
      <c r="D419" s="8">
        <v>25.4</v>
      </c>
      <c r="F419" s="8">
        <v>25.55</v>
      </c>
      <c r="H419" s="8">
        <v>25.89</v>
      </c>
    </row>
    <row r="420" spans="1:8" x14ac:dyDescent="0.35">
      <c r="A420" s="7">
        <v>43884</v>
      </c>
      <c r="D420" s="8">
        <v>25.4</v>
      </c>
      <c r="F420" s="8">
        <v>25.55</v>
      </c>
      <c r="H420" s="8">
        <v>25.89</v>
      </c>
    </row>
    <row r="421" spans="1:8" x14ac:dyDescent="0.35">
      <c r="A421" s="7">
        <v>43885</v>
      </c>
      <c r="D421" s="8">
        <v>24.75</v>
      </c>
      <c r="F421" s="8">
        <v>24.94</v>
      </c>
      <c r="H421" s="8">
        <v>25.12</v>
      </c>
    </row>
    <row r="422" spans="1:8" x14ac:dyDescent="0.35">
      <c r="A422" s="7">
        <v>43886</v>
      </c>
      <c r="D422" s="8">
        <v>24.45</v>
      </c>
      <c r="F422" s="8">
        <v>24.62</v>
      </c>
      <c r="H422" s="8">
        <v>24.71</v>
      </c>
    </row>
    <row r="423" spans="1:8" x14ac:dyDescent="0.35">
      <c r="A423" s="7">
        <v>43887</v>
      </c>
      <c r="D423" s="8">
        <v>24</v>
      </c>
      <c r="F423" s="8">
        <v>24.15</v>
      </c>
      <c r="H423" s="8">
        <v>24.34</v>
      </c>
    </row>
    <row r="424" spans="1:8" x14ac:dyDescent="0.35">
      <c r="A424" s="7">
        <v>43888</v>
      </c>
      <c r="D424" s="8">
        <v>23.75</v>
      </c>
      <c r="F424" s="8">
        <v>23.91</v>
      </c>
      <c r="H424" s="8">
        <v>24.19</v>
      </c>
    </row>
    <row r="425" spans="1:8" x14ac:dyDescent="0.35">
      <c r="A425" s="7">
        <v>43889</v>
      </c>
      <c r="D425" s="8">
        <v>23.4</v>
      </c>
      <c r="F425" s="8">
        <v>23.59</v>
      </c>
      <c r="H425" s="8">
        <v>23.8</v>
      </c>
    </row>
    <row r="426" spans="1:8" x14ac:dyDescent="0.35">
      <c r="A426" s="7">
        <v>43890</v>
      </c>
      <c r="D426" s="8">
        <v>23.4</v>
      </c>
      <c r="F426" s="8">
        <v>23.59</v>
      </c>
      <c r="H426" s="8">
        <v>23.8</v>
      </c>
    </row>
    <row r="427" spans="1:8" x14ac:dyDescent="0.35">
      <c r="A427" s="7">
        <v>43891</v>
      </c>
      <c r="D427" s="8">
        <v>23.4</v>
      </c>
      <c r="F427" s="8">
        <v>23.59</v>
      </c>
      <c r="H427" s="8">
        <v>23.8</v>
      </c>
    </row>
    <row r="428" spans="1:8" x14ac:dyDescent="0.35">
      <c r="A428" s="7">
        <v>43892</v>
      </c>
      <c r="D428" s="8">
        <v>23.71</v>
      </c>
      <c r="F428" s="8">
        <v>23.84</v>
      </c>
      <c r="H428" s="8">
        <v>24.28</v>
      </c>
    </row>
    <row r="429" spans="1:8" x14ac:dyDescent="0.35">
      <c r="A429" s="7">
        <v>43893</v>
      </c>
      <c r="D429" s="8">
        <v>23.49</v>
      </c>
      <c r="F429" s="8">
        <v>23.65</v>
      </c>
      <c r="H429" s="8">
        <v>23.98</v>
      </c>
    </row>
    <row r="430" spans="1:8" x14ac:dyDescent="0.35">
      <c r="A430" s="7">
        <v>43894</v>
      </c>
      <c r="D430" s="8">
        <v>23.67</v>
      </c>
      <c r="F430" s="8">
        <v>23.79</v>
      </c>
      <c r="H430" s="8">
        <v>24.2</v>
      </c>
    </row>
    <row r="431" spans="1:8" x14ac:dyDescent="0.35">
      <c r="A431" s="7">
        <v>43895</v>
      </c>
      <c r="D431" s="8">
        <v>23.88</v>
      </c>
      <c r="F431" s="8">
        <v>24.09</v>
      </c>
      <c r="H431" s="8">
        <v>24.28</v>
      </c>
    </row>
    <row r="432" spans="1:8" x14ac:dyDescent="0.35">
      <c r="A432" s="7">
        <v>43896</v>
      </c>
      <c r="D432" s="8">
        <v>23.5</v>
      </c>
      <c r="F432" s="8">
        <v>23.7</v>
      </c>
      <c r="H432" s="8">
        <v>23.9</v>
      </c>
    </row>
    <row r="433" spans="1:8" x14ac:dyDescent="0.35">
      <c r="A433" s="7">
        <v>43897</v>
      </c>
      <c r="D433" s="8">
        <v>23.5</v>
      </c>
      <c r="F433" s="8">
        <v>23.7</v>
      </c>
      <c r="H433" s="8">
        <v>23.9</v>
      </c>
    </row>
    <row r="434" spans="1:8" x14ac:dyDescent="0.35">
      <c r="A434" s="7">
        <v>43898</v>
      </c>
      <c r="D434" s="8">
        <v>23.5</v>
      </c>
      <c r="F434" s="8">
        <v>23.7</v>
      </c>
      <c r="H434" s="8">
        <v>23.9</v>
      </c>
    </row>
    <row r="435" spans="1:8" x14ac:dyDescent="0.35">
      <c r="A435" s="7">
        <v>43899</v>
      </c>
      <c r="D435" s="8">
        <v>22.77</v>
      </c>
      <c r="F435" s="8">
        <v>22.94</v>
      </c>
      <c r="H435" s="8">
        <v>23.04</v>
      </c>
    </row>
    <row r="436" spans="1:8" x14ac:dyDescent="0.35">
      <c r="A436" s="7">
        <v>43900</v>
      </c>
      <c r="D436" s="8">
        <v>23.79</v>
      </c>
      <c r="F436" s="8">
        <v>23.97</v>
      </c>
      <c r="H436" s="8">
        <v>24.19</v>
      </c>
    </row>
    <row r="437" spans="1:8" x14ac:dyDescent="0.35">
      <c r="A437" s="7">
        <v>43901</v>
      </c>
      <c r="D437" s="8">
        <v>23.8</v>
      </c>
      <c r="F437" s="8">
        <v>23.94</v>
      </c>
      <c r="H437" s="8">
        <v>24.14</v>
      </c>
    </row>
    <row r="438" spans="1:8" x14ac:dyDescent="0.35">
      <c r="A438" s="7">
        <v>43902</v>
      </c>
      <c r="D438" s="8">
        <v>22.88</v>
      </c>
      <c r="F438" s="8">
        <v>23.06</v>
      </c>
      <c r="H438" s="8">
        <v>23.26</v>
      </c>
    </row>
    <row r="439" spans="1:8" x14ac:dyDescent="0.35">
      <c r="A439" s="7">
        <v>43903</v>
      </c>
      <c r="D439" s="8">
        <v>22.38</v>
      </c>
      <c r="F439" s="8">
        <v>22.56</v>
      </c>
      <c r="H439" s="8">
        <v>22.94</v>
      </c>
    </row>
    <row r="440" spans="1:8" x14ac:dyDescent="0.35">
      <c r="A440" s="7">
        <v>43904</v>
      </c>
      <c r="D440" s="8">
        <v>22.38</v>
      </c>
      <c r="F440" s="8">
        <v>22.56</v>
      </c>
      <c r="H440" s="8">
        <v>22.94</v>
      </c>
    </row>
    <row r="441" spans="1:8" x14ac:dyDescent="0.35">
      <c r="A441" s="7">
        <v>43905</v>
      </c>
      <c r="D441" s="8">
        <v>22.38</v>
      </c>
      <c r="F441" s="8">
        <v>22.56</v>
      </c>
      <c r="H441" s="8">
        <v>22.94</v>
      </c>
    </row>
    <row r="442" spans="1:8" x14ac:dyDescent="0.35">
      <c r="A442" s="7">
        <v>43906</v>
      </c>
      <c r="D442" s="8">
        <v>19.95</v>
      </c>
      <c r="F442" s="8">
        <v>20.18</v>
      </c>
      <c r="H442" s="8">
        <v>20.6</v>
      </c>
    </row>
    <row r="443" spans="1:8" x14ac:dyDescent="0.35">
      <c r="A443" s="7">
        <v>43907</v>
      </c>
      <c r="D443" s="8">
        <v>18.670000000000002</v>
      </c>
      <c r="F443" s="8">
        <v>18.88</v>
      </c>
      <c r="H443" s="8">
        <v>19.2</v>
      </c>
    </row>
    <row r="444" spans="1:8" x14ac:dyDescent="0.35">
      <c r="A444" s="7">
        <v>43908</v>
      </c>
      <c r="D444" s="8">
        <v>16.100000000000001</v>
      </c>
      <c r="F444" s="8">
        <v>16.48</v>
      </c>
      <c r="H444" s="8">
        <v>17.149999999999999</v>
      </c>
    </row>
    <row r="445" spans="1:8" x14ac:dyDescent="0.35">
      <c r="A445" s="7">
        <v>43909</v>
      </c>
      <c r="D445" s="8">
        <v>16</v>
      </c>
      <c r="F445" s="8">
        <v>16.36</v>
      </c>
      <c r="H445" s="8">
        <v>16.89</v>
      </c>
    </row>
    <row r="446" spans="1:8" x14ac:dyDescent="0.35">
      <c r="A446" s="7">
        <v>43910</v>
      </c>
      <c r="D446" s="8">
        <v>16.47</v>
      </c>
      <c r="F446" s="8">
        <v>16.95</v>
      </c>
      <c r="H446" s="8">
        <v>17.29</v>
      </c>
    </row>
    <row r="447" spans="1:8" x14ac:dyDescent="0.35">
      <c r="A447" s="7">
        <v>43911</v>
      </c>
      <c r="D447" s="8">
        <v>16.47</v>
      </c>
      <c r="F447" s="8">
        <v>16.95</v>
      </c>
      <c r="H447" s="8">
        <v>17.29</v>
      </c>
    </row>
    <row r="448" spans="1:8" x14ac:dyDescent="0.35">
      <c r="A448" s="7">
        <v>43912</v>
      </c>
      <c r="D448" s="8">
        <v>16.47</v>
      </c>
      <c r="F448" s="8">
        <v>16.95</v>
      </c>
      <c r="H448" s="8">
        <v>17.29</v>
      </c>
    </row>
    <row r="449" spans="1:10" x14ac:dyDescent="0.35">
      <c r="A449" s="7">
        <v>43913</v>
      </c>
      <c r="D449" s="8">
        <v>14.9</v>
      </c>
      <c r="F449" s="8">
        <v>15.2</v>
      </c>
      <c r="H449" s="8">
        <v>15.62</v>
      </c>
    </row>
    <row r="450" spans="1:10" x14ac:dyDescent="0.35">
      <c r="A450" s="7">
        <v>43914</v>
      </c>
      <c r="D450" s="8">
        <v>16.510000000000002</v>
      </c>
      <c r="F450" s="8">
        <v>16.77</v>
      </c>
      <c r="H450" s="8">
        <v>17.440000000000001</v>
      </c>
    </row>
    <row r="451" spans="1:10" x14ac:dyDescent="0.35">
      <c r="A451" s="7">
        <v>43915</v>
      </c>
      <c r="D451" s="8">
        <v>16.84</v>
      </c>
      <c r="F451" s="8">
        <v>17.010000000000002</v>
      </c>
      <c r="H451" s="8">
        <v>17.63</v>
      </c>
    </row>
    <row r="452" spans="1:10" x14ac:dyDescent="0.35">
      <c r="A452" s="7">
        <v>43916</v>
      </c>
      <c r="D452" s="8">
        <v>17.079999999999998</v>
      </c>
      <c r="F452" s="8">
        <v>17.38</v>
      </c>
      <c r="H452" s="8">
        <v>17.760000000000002</v>
      </c>
    </row>
    <row r="453" spans="1:10" x14ac:dyDescent="0.35">
      <c r="A453" s="7">
        <v>43917</v>
      </c>
      <c r="D453" s="8">
        <v>16.59</v>
      </c>
      <c r="F453" s="8">
        <v>16.940000000000001</v>
      </c>
      <c r="H453" s="8">
        <v>17.34</v>
      </c>
    </row>
    <row r="454" spans="1:10" x14ac:dyDescent="0.35">
      <c r="A454" s="7">
        <v>43918</v>
      </c>
      <c r="D454" s="8">
        <v>16.59</v>
      </c>
      <c r="F454" s="8">
        <v>16.940000000000001</v>
      </c>
      <c r="H454" s="8">
        <v>17.34</v>
      </c>
    </row>
    <row r="455" spans="1:10" x14ac:dyDescent="0.35">
      <c r="A455" s="7">
        <v>43919</v>
      </c>
      <c r="D455" s="8">
        <v>16.59</v>
      </c>
      <c r="F455" s="8">
        <v>16.940000000000001</v>
      </c>
      <c r="H455" s="8">
        <v>17.34</v>
      </c>
    </row>
    <row r="456" spans="1:10" x14ac:dyDescent="0.35">
      <c r="A456" s="7">
        <v>43920</v>
      </c>
      <c r="D456" s="8">
        <v>16.739999999999998</v>
      </c>
      <c r="F456" s="8">
        <v>17.04</v>
      </c>
      <c r="H456" s="8">
        <v>17.7</v>
      </c>
    </row>
    <row r="457" spans="1:10" x14ac:dyDescent="0.35">
      <c r="A457" s="7">
        <v>43921</v>
      </c>
      <c r="D457" s="8">
        <v>17.7</v>
      </c>
      <c r="F457" s="8">
        <v>18.059999999999999</v>
      </c>
      <c r="H457" s="8">
        <v>18.420000000000002</v>
      </c>
    </row>
    <row r="458" spans="1:10" x14ac:dyDescent="0.35">
      <c r="A458" s="7">
        <v>43922</v>
      </c>
      <c r="D458" s="8">
        <v>17</v>
      </c>
      <c r="F458" s="8">
        <v>17.37</v>
      </c>
      <c r="H458" s="8">
        <v>17.77</v>
      </c>
    </row>
    <row r="459" spans="1:10" x14ac:dyDescent="0.35">
      <c r="A459" s="7">
        <v>43923</v>
      </c>
      <c r="D459" s="8">
        <v>17.66</v>
      </c>
      <c r="F459" s="8">
        <v>17.97</v>
      </c>
      <c r="H459" s="8">
        <v>18.2</v>
      </c>
    </row>
    <row r="460" spans="1:10" x14ac:dyDescent="0.35">
      <c r="A460" s="7">
        <v>43924</v>
      </c>
      <c r="D460" s="8">
        <v>18.11</v>
      </c>
      <c r="F460" s="8">
        <v>18.440000000000001</v>
      </c>
      <c r="H460" s="8">
        <v>18.89</v>
      </c>
    </row>
    <row r="461" spans="1:10" x14ac:dyDescent="0.35">
      <c r="A461" s="7">
        <v>43925</v>
      </c>
      <c r="D461" s="8">
        <v>18.11</v>
      </c>
      <c r="F461" s="8">
        <v>18.440000000000001</v>
      </c>
      <c r="H461" s="8">
        <v>18.89</v>
      </c>
    </row>
    <row r="462" spans="1:10" x14ac:dyDescent="0.35">
      <c r="A462" s="7">
        <v>43926</v>
      </c>
      <c r="D462" s="8">
        <v>18.11</v>
      </c>
      <c r="F462" s="8">
        <v>18.440000000000001</v>
      </c>
      <c r="H462" s="8">
        <v>18.89</v>
      </c>
    </row>
    <row r="463" spans="1:10" x14ac:dyDescent="0.35">
      <c r="A463" s="7">
        <v>43927</v>
      </c>
      <c r="D463" s="8">
        <v>19.48</v>
      </c>
      <c r="F463" s="8">
        <v>19.66</v>
      </c>
      <c r="H463" s="8">
        <v>20.7</v>
      </c>
    </row>
    <row r="464" spans="1:10" x14ac:dyDescent="0.35">
      <c r="A464" s="7">
        <v>43928</v>
      </c>
      <c r="D464" s="8">
        <v>21.03</v>
      </c>
      <c r="F464" s="8">
        <v>21.49</v>
      </c>
      <c r="H464" s="8">
        <v>21.76</v>
      </c>
      <c r="J464" s="8">
        <v>22.61</v>
      </c>
    </row>
    <row r="465" spans="1:10" x14ac:dyDescent="0.35">
      <c r="A465" s="7">
        <v>43929</v>
      </c>
      <c r="D465" s="8">
        <v>20.55</v>
      </c>
      <c r="F465" s="8">
        <v>20.88</v>
      </c>
      <c r="H465" s="8">
        <v>21.39</v>
      </c>
      <c r="J465" s="8">
        <v>21.59</v>
      </c>
    </row>
    <row r="466" spans="1:10" x14ac:dyDescent="0.35">
      <c r="A466" s="7">
        <v>43930</v>
      </c>
      <c r="D466" s="8">
        <v>21.29</v>
      </c>
      <c r="F466" s="8">
        <v>21.66</v>
      </c>
      <c r="H466" s="8">
        <v>21.98</v>
      </c>
      <c r="J466" s="8">
        <v>22.31</v>
      </c>
    </row>
    <row r="467" spans="1:10" x14ac:dyDescent="0.35">
      <c r="A467" s="7">
        <v>43931</v>
      </c>
      <c r="D467" s="8">
        <v>21.29</v>
      </c>
      <c r="F467" s="8">
        <v>21.66</v>
      </c>
      <c r="H467" s="8">
        <v>21.98</v>
      </c>
      <c r="J467" s="8">
        <v>22.31</v>
      </c>
    </row>
    <row r="468" spans="1:10" x14ac:dyDescent="0.35">
      <c r="A468" s="7">
        <v>43932</v>
      </c>
      <c r="D468" s="8">
        <v>21.29</v>
      </c>
      <c r="F468" s="8">
        <v>21.66</v>
      </c>
      <c r="H468" s="8">
        <v>21.98</v>
      </c>
      <c r="J468" s="8">
        <v>22.31</v>
      </c>
    </row>
    <row r="469" spans="1:10" x14ac:dyDescent="0.35">
      <c r="A469" s="7">
        <v>43933</v>
      </c>
      <c r="D469" s="8">
        <v>21.29</v>
      </c>
      <c r="F469" s="8">
        <v>21.66</v>
      </c>
      <c r="H469" s="8">
        <v>21.98</v>
      </c>
      <c r="J469" s="8">
        <v>22.31</v>
      </c>
    </row>
    <row r="470" spans="1:10" x14ac:dyDescent="0.35">
      <c r="A470" s="7">
        <v>43934</v>
      </c>
      <c r="D470" s="8">
        <v>21.29</v>
      </c>
      <c r="F470" s="8">
        <v>21.66</v>
      </c>
      <c r="H470" s="8">
        <v>21.98</v>
      </c>
      <c r="J470" s="8">
        <v>22.31</v>
      </c>
    </row>
    <row r="471" spans="1:10" x14ac:dyDescent="0.35">
      <c r="A471" s="7">
        <v>43935</v>
      </c>
      <c r="D471" s="8">
        <v>20.309999999999999</v>
      </c>
      <c r="F471" s="8">
        <v>20.69</v>
      </c>
      <c r="H471" s="8">
        <v>21.02</v>
      </c>
      <c r="J471" s="8">
        <v>21.44</v>
      </c>
    </row>
    <row r="472" spans="1:10" x14ac:dyDescent="0.35">
      <c r="A472" s="7">
        <v>43936</v>
      </c>
      <c r="D472" s="8">
        <v>19.38</v>
      </c>
      <c r="F472" s="8">
        <v>19.8</v>
      </c>
      <c r="H472" s="8">
        <v>19.989999999999998</v>
      </c>
      <c r="J472" s="8">
        <v>20.36</v>
      </c>
    </row>
    <row r="473" spans="1:10" x14ac:dyDescent="0.35">
      <c r="A473" s="7">
        <v>43937</v>
      </c>
      <c r="D473" s="8">
        <v>20.41</v>
      </c>
      <c r="F473" s="8">
        <v>20.96</v>
      </c>
      <c r="H473" s="8">
        <v>21.06</v>
      </c>
      <c r="J473" s="8">
        <v>20.94</v>
      </c>
    </row>
    <row r="474" spans="1:10" x14ac:dyDescent="0.35">
      <c r="A474" s="7">
        <v>43938</v>
      </c>
      <c r="D474" s="8">
        <v>21.83</v>
      </c>
      <c r="F474" s="8">
        <v>22.21</v>
      </c>
      <c r="H474" s="8">
        <v>22.66</v>
      </c>
      <c r="J474" s="8">
        <v>22.88</v>
      </c>
    </row>
    <row r="475" spans="1:10" x14ac:dyDescent="0.35">
      <c r="A475" s="7">
        <v>43939</v>
      </c>
      <c r="D475" s="8">
        <v>21.83</v>
      </c>
      <c r="F475" s="8">
        <v>22.21</v>
      </c>
      <c r="H475" s="8">
        <v>22.66</v>
      </c>
      <c r="J475" s="8">
        <v>22.88</v>
      </c>
    </row>
    <row r="476" spans="1:10" x14ac:dyDescent="0.35">
      <c r="A476" s="7">
        <v>43940</v>
      </c>
      <c r="D476" s="8">
        <v>21.83</v>
      </c>
      <c r="F476" s="8">
        <v>22.21</v>
      </c>
      <c r="H476" s="8">
        <v>22.66</v>
      </c>
      <c r="J476" s="8">
        <v>22.88</v>
      </c>
    </row>
    <row r="477" spans="1:10" x14ac:dyDescent="0.35">
      <c r="A477" s="7">
        <v>43941</v>
      </c>
      <c r="D477" s="8">
        <v>21.22</v>
      </c>
      <c r="F477" s="8">
        <v>21.71</v>
      </c>
      <c r="H477" s="8">
        <v>22.04</v>
      </c>
      <c r="J477" s="8">
        <v>22.46</v>
      </c>
    </row>
    <row r="478" spans="1:10" x14ac:dyDescent="0.35">
      <c r="A478" s="7">
        <v>43942</v>
      </c>
      <c r="D478" s="8">
        <v>20.3</v>
      </c>
      <c r="F478" s="8">
        <v>20.72</v>
      </c>
      <c r="H478" s="8">
        <v>20.99</v>
      </c>
      <c r="J478" s="8">
        <v>21.89</v>
      </c>
    </row>
    <row r="479" spans="1:10" x14ac:dyDescent="0.35">
      <c r="A479" s="7">
        <v>43943</v>
      </c>
      <c r="D479" s="8">
        <v>20.46</v>
      </c>
      <c r="F479" s="8">
        <v>20.76</v>
      </c>
      <c r="H479" s="8">
        <v>21.69</v>
      </c>
      <c r="J479" s="8">
        <v>21.69</v>
      </c>
    </row>
    <row r="480" spans="1:10" x14ac:dyDescent="0.35">
      <c r="A480" s="7">
        <v>43944</v>
      </c>
      <c r="D480" s="8">
        <v>20.73</v>
      </c>
      <c r="F480" s="8">
        <v>21.13</v>
      </c>
      <c r="H480" s="8">
        <v>21.49</v>
      </c>
      <c r="J480" s="8">
        <v>21.68</v>
      </c>
    </row>
    <row r="481" spans="1:10" x14ac:dyDescent="0.35">
      <c r="A481" s="7">
        <v>43945</v>
      </c>
      <c r="D481" s="8">
        <v>20.86</v>
      </c>
      <c r="F481" s="8">
        <v>21.21</v>
      </c>
      <c r="H481" s="8">
        <v>21.68</v>
      </c>
      <c r="J481" s="8">
        <v>21.8</v>
      </c>
    </row>
    <row r="482" spans="1:10" x14ac:dyDescent="0.35">
      <c r="A482" s="7">
        <v>43946</v>
      </c>
      <c r="D482" s="8">
        <v>20.86</v>
      </c>
      <c r="F482" s="8">
        <v>21.21</v>
      </c>
      <c r="H482" s="8">
        <v>21.68</v>
      </c>
      <c r="J482" s="8">
        <v>21.8</v>
      </c>
    </row>
    <row r="483" spans="1:10" x14ac:dyDescent="0.35">
      <c r="A483" s="7">
        <v>43947</v>
      </c>
      <c r="D483" s="8">
        <v>20.86</v>
      </c>
      <c r="F483" s="8">
        <v>21.21</v>
      </c>
      <c r="H483" s="8">
        <v>21.68</v>
      </c>
      <c r="J483" s="8">
        <v>21.8</v>
      </c>
    </row>
    <row r="484" spans="1:10" x14ac:dyDescent="0.35">
      <c r="A484" s="7">
        <v>43948</v>
      </c>
      <c r="D484" s="8">
        <v>20.41</v>
      </c>
      <c r="F484" s="8">
        <v>20.76</v>
      </c>
      <c r="H484" s="8">
        <v>21.16</v>
      </c>
      <c r="J484" s="8">
        <v>21.6</v>
      </c>
    </row>
    <row r="485" spans="1:10" x14ac:dyDescent="0.35">
      <c r="A485" s="7">
        <v>43949</v>
      </c>
      <c r="D485" s="8">
        <v>20.28</v>
      </c>
      <c r="F485" s="8">
        <v>20.69</v>
      </c>
      <c r="H485" s="8">
        <v>21.1</v>
      </c>
      <c r="J485" s="8">
        <v>21.43</v>
      </c>
    </row>
    <row r="486" spans="1:10" x14ac:dyDescent="0.35">
      <c r="A486" s="7">
        <v>43950</v>
      </c>
      <c r="D486" s="8">
        <v>20.28</v>
      </c>
      <c r="F486" s="8">
        <v>20.69</v>
      </c>
      <c r="H486" s="8">
        <v>21.04</v>
      </c>
      <c r="J486" s="8">
        <v>21.3</v>
      </c>
    </row>
    <row r="487" spans="1:10" x14ac:dyDescent="0.35">
      <c r="A487" s="7">
        <v>43951</v>
      </c>
      <c r="D487" s="8">
        <v>19.170000000000002</v>
      </c>
      <c r="F487" s="8">
        <v>19.52</v>
      </c>
      <c r="H487" s="8">
        <v>19.91</v>
      </c>
      <c r="J487" s="8">
        <v>20.28</v>
      </c>
    </row>
    <row r="488" spans="1:10" x14ac:dyDescent="0.35">
      <c r="A488" s="7">
        <v>43952</v>
      </c>
      <c r="D488" s="8">
        <v>19.170000000000002</v>
      </c>
      <c r="F488" s="8">
        <v>19.52</v>
      </c>
      <c r="H488" s="8">
        <v>19.91</v>
      </c>
      <c r="J488" s="8">
        <v>20.28</v>
      </c>
    </row>
    <row r="489" spans="1:10" x14ac:dyDescent="0.35">
      <c r="A489" s="7">
        <v>43953</v>
      </c>
      <c r="D489" s="8">
        <v>19.170000000000002</v>
      </c>
      <c r="F489" s="8">
        <v>19.52</v>
      </c>
      <c r="H489" s="8">
        <v>19.91</v>
      </c>
      <c r="J489" s="8">
        <v>20.28</v>
      </c>
    </row>
    <row r="490" spans="1:10" x14ac:dyDescent="0.35">
      <c r="A490" s="7">
        <v>43954</v>
      </c>
      <c r="D490" s="8">
        <v>19.170000000000002</v>
      </c>
      <c r="F490" s="8">
        <v>19.52</v>
      </c>
      <c r="H490" s="8">
        <v>19.91</v>
      </c>
      <c r="J490" s="8">
        <v>20.28</v>
      </c>
    </row>
    <row r="491" spans="1:10" x14ac:dyDescent="0.35">
      <c r="A491" s="7">
        <v>43955</v>
      </c>
      <c r="D491" s="8">
        <v>19.02</v>
      </c>
      <c r="F491" s="8">
        <v>19.38</v>
      </c>
      <c r="H491" s="8">
        <v>19.8</v>
      </c>
      <c r="J491" s="8">
        <v>20.16</v>
      </c>
    </row>
    <row r="492" spans="1:10" x14ac:dyDescent="0.35">
      <c r="A492" s="7">
        <v>43956</v>
      </c>
      <c r="D492" s="8">
        <v>19.260000000000002</v>
      </c>
      <c r="F492" s="8">
        <v>19.579999999999998</v>
      </c>
      <c r="H492" s="8">
        <v>20</v>
      </c>
      <c r="J492" s="8">
        <v>20.309999999999999</v>
      </c>
    </row>
    <row r="493" spans="1:10" x14ac:dyDescent="0.35">
      <c r="A493" s="7">
        <v>43957</v>
      </c>
      <c r="D493" s="8">
        <v>18.98</v>
      </c>
      <c r="F493" s="8">
        <v>19.37</v>
      </c>
      <c r="H493" s="8">
        <v>19.72</v>
      </c>
      <c r="J493" s="8">
        <v>20.100000000000001</v>
      </c>
    </row>
    <row r="494" spans="1:10" x14ac:dyDescent="0.35">
      <c r="A494" s="7">
        <v>43958</v>
      </c>
      <c r="D494" s="8">
        <v>19.25</v>
      </c>
      <c r="F494" s="8">
        <v>19.559999999999999</v>
      </c>
      <c r="H494" s="8">
        <v>20.100000000000001</v>
      </c>
      <c r="J494" s="8">
        <v>20.73</v>
      </c>
    </row>
    <row r="495" spans="1:10" x14ac:dyDescent="0.35">
      <c r="A495" s="7">
        <v>43959</v>
      </c>
      <c r="D495" s="8">
        <v>19.440000000000001</v>
      </c>
      <c r="F495" s="8">
        <v>19.86</v>
      </c>
      <c r="H495" s="8">
        <v>20.14</v>
      </c>
      <c r="J495" s="8">
        <v>20.45</v>
      </c>
    </row>
    <row r="496" spans="1:10" x14ac:dyDescent="0.35">
      <c r="A496" s="7">
        <v>43960</v>
      </c>
      <c r="D496" s="8">
        <v>19.440000000000001</v>
      </c>
      <c r="F496" s="8">
        <v>19.86</v>
      </c>
      <c r="H496" s="8">
        <v>20.14</v>
      </c>
      <c r="J496" s="8">
        <v>20.45</v>
      </c>
    </row>
    <row r="497" spans="1:10" x14ac:dyDescent="0.35">
      <c r="A497" s="7">
        <v>43961</v>
      </c>
      <c r="D497" s="8">
        <v>19.440000000000001</v>
      </c>
      <c r="F497" s="8">
        <v>19.86</v>
      </c>
      <c r="H497" s="8">
        <v>20.14</v>
      </c>
      <c r="J497" s="8">
        <v>20.45</v>
      </c>
    </row>
    <row r="498" spans="1:10" x14ac:dyDescent="0.35">
      <c r="A498" s="7">
        <v>43962</v>
      </c>
      <c r="D498" s="8">
        <v>19.13</v>
      </c>
      <c r="F498" s="8">
        <v>19.510000000000002</v>
      </c>
      <c r="H498" s="8">
        <v>19.86</v>
      </c>
      <c r="J498" s="8">
        <v>20.46</v>
      </c>
    </row>
    <row r="499" spans="1:10" x14ac:dyDescent="0.35">
      <c r="A499" s="7">
        <v>43963</v>
      </c>
      <c r="D499" s="8">
        <v>18.75</v>
      </c>
      <c r="F499" s="8">
        <v>19.16</v>
      </c>
      <c r="H499" s="8">
        <v>19.62</v>
      </c>
      <c r="J499" s="8">
        <v>20.27</v>
      </c>
    </row>
    <row r="500" spans="1:10" x14ac:dyDescent="0.35">
      <c r="A500" s="7">
        <v>43964</v>
      </c>
      <c r="D500" s="8">
        <v>18.55</v>
      </c>
      <c r="F500" s="8">
        <v>18.93</v>
      </c>
      <c r="H500" s="8">
        <v>19.38</v>
      </c>
      <c r="J500" s="8">
        <v>19.829999999999998</v>
      </c>
    </row>
    <row r="501" spans="1:10" x14ac:dyDescent="0.35">
      <c r="A501" s="7">
        <v>43965</v>
      </c>
      <c r="D501" s="8">
        <v>18.57</v>
      </c>
      <c r="F501" s="8">
        <v>18.899999999999999</v>
      </c>
      <c r="H501" s="8">
        <v>19.37</v>
      </c>
      <c r="J501" s="8">
        <v>19.7</v>
      </c>
    </row>
    <row r="502" spans="1:10" x14ac:dyDescent="0.35">
      <c r="A502" s="7">
        <v>43966</v>
      </c>
      <c r="D502" s="8">
        <v>19.14</v>
      </c>
      <c r="F502" s="8">
        <v>19.510000000000002</v>
      </c>
      <c r="H502" s="8">
        <v>19.920000000000002</v>
      </c>
      <c r="J502" s="8">
        <v>20.38</v>
      </c>
    </row>
    <row r="503" spans="1:10" x14ac:dyDescent="0.35">
      <c r="A503" s="7">
        <v>43967</v>
      </c>
      <c r="D503" s="8">
        <v>19.14</v>
      </c>
      <c r="F503" s="8">
        <v>19.510000000000002</v>
      </c>
      <c r="H503" s="8">
        <v>19.920000000000002</v>
      </c>
      <c r="J503" s="8">
        <v>20.38</v>
      </c>
    </row>
    <row r="504" spans="1:10" x14ac:dyDescent="0.35">
      <c r="A504" s="7">
        <v>43968</v>
      </c>
      <c r="D504" s="8">
        <v>19.14</v>
      </c>
      <c r="F504" s="8">
        <v>19.510000000000002</v>
      </c>
      <c r="H504" s="8">
        <v>19.920000000000002</v>
      </c>
      <c r="J504" s="8">
        <v>20.38</v>
      </c>
    </row>
    <row r="505" spans="1:10" x14ac:dyDescent="0.35">
      <c r="A505" s="7">
        <v>43969</v>
      </c>
      <c r="D505" s="8">
        <v>19.88</v>
      </c>
      <c r="F505" s="8">
        <v>20.13</v>
      </c>
      <c r="H505" s="8">
        <v>20.93</v>
      </c>
      <c r="J505" s="8">
        <v>20.65</v>
      </c>
    </row>
    <row r="506" spans="1:10" x14ac:dyDescent="0.35">
      <c r="A506" s="7">
        <v>43970</v>
      </c>
      <c r="D506" s="8">
        <v>20.149999999999999</v>
      </c>
      <c r="F506" s="8">
        <v>20.48</v>
      </c>
      <c r="H506" s="8">
        <v>20.91</v>
      </c>
      <c r="J506" s="8">
        <v>21.34</v>
      </c>
    </row>
    <row r="507" spans="1:10" x14ac:dyDescent="0.35">
      <c r="A507" s="7">
        <v>43971</v>
      </c>
      <c r="D507" s="8">
        <v>20.72</v>
      </c>
      <c r="F507" s="8">
        <v>20.9</v>
      </c>
      <c r="H507" s="8">
        <v>21.79</v>
      </c>
      <c r="J507" s="8">
        <v>22.15</v>
      </c>
    </row>
    <row r="508" spans="1:10" x14ac:dyDescent="0.35">
      <c r="A508" s="7">
        <v>43972</v>
      </c>
      <c r="D508" s="8">
        <v>21.36</v>
      </c>
      <c r="F508" s="8">
        <v>21.72</v>
      </c>
      <c r="H508" s="8">
        <v>22.04</v>
      </c>
      <c r="J508" s="8">
        <v>22.78</v>
      </c>
    </row>
    <row r="509" spans="1:10" x14ac:dyDescent="0.35">
      <c r="A509" s="7">
        <v>43973</v>
      </c>
      <c r="D509" s="8">
        <v>20.96</v>
      </c>
      <c r="F509" s="8">
        <v>21.34</v>
      </c>
      <c r="H509" s="8">
        <v>21.91</v>
      </c>
      <c r="J509" s="8">
        <v>22.06</v>
      </c>
    </row>
    <row r="510" spans="1:10" x14ac:dyDescent="0.35">
      <c r="A510" s="7">
        <v>43974</v>
      </c>
      <c r="D510" s="8">
        <v>20.96</v>
      </c>
      <c r="F510" s="8">
        <v>21.34</v>
      </c>
      <c r="H510" s="8">
        <v>21.91</v>
      </c>
      <c r="J510" s="8">
        <v>22.06</v>
      </c>
    </row>
    <row r="511" spans="1:10" x14ac:dyDescent="0.35">
      <c r="A511" s="7">
        <v>43975</v>
      </c>
      <c r="D511" s="8">
        <v>20.96</v>
      </c>
      <c r="F511" s="8">
        <v>21.34</v>
      </c>
      <c r="H511" s="8">
        <v>21.91</v>
      </c>
      <c r="J511" s="8">
        <v>22.06</v>
      </c>
    </row>
    <row r="512" spans="1:10" x14ac:dyDescent="0.35">
      <c r="A512" s="7">
        <v>43976</v>
      </c>
      <c r="D512" s="8">
        <v>21.49</v>
      </c>
      <c r="F512" s="8">
        <v>21.81</v>
      </c>
      <c r="H512" s="8">
        <v>22.24</v>
      </c>
      <c r="J512" s="8">
        <v>22.79</v>
      </c>
    </row>
    <row r="513" spans="1:10" x14ac:dyDescent="0.35">
      <c r="A513" s="7">
        <v>43977</v>
      </c>
      <c r="D513" s="8">
        <v>21.75</v>
      </c>
      <c r="F513" s="8">
        <v>22.1</v>
      </c>
      <c r="H513" s="8">
        <v>22.45</v>
      </c>
      <c r="J513" s="8">
        <v>22.81</v>
      </c>
    </row>
    <row r="514" spans="1:10" x14ac:dyDescent="0.35">
      <c r="A514" s="7">
        <v>43978</v>
      </c>
      <c r="D514" s="8">
        <v>21.36</v>
      </c>
      <c r="F514" s="8">
        <v>21.72</v>
      </c>
      <c r="H514" s="8">
        <v>22.13</v>
      </c>
      <c r="J514" s="8">
        <v>22.6</v>
      </c>
    </row>
    <row r="515" spans="1:10" x14ac:dyDescent="0.35">
      <c r="A515" s="7">
        <v>43979</v>
      </c>
      <c r="D515" s="8">
        <v>21.1</v>
      </c>
      <c r="F515" s="8">
        <v>21.44</v>
      </c>
      <c r="H515" s="8">
        <v>21.89</v>
      </c>
      <c r="J515" s="8">
        <v>22.23</v>
      </c>
    </row>
    <row r="516" spans="1:10" x14ac:dyDescent="0.35">
      <c r="A516" s="7">
        <v>43980</v>
      </c>
      <c r="D516" s="8">
        <v>21.49</v>
      </c>
      <c r="F516" s="8">
        <v>21.84</v>
      </c>
      <c r="H516" s="8">
        <v>22.22</v>
      </c>
      <c r="J516" s="8">
        <v>22.66</v>
      </c>
    </row>
    <row r="517" spans="1:10" x14ac:dyDescent="0.35">
      <c r="A517" s="7">
        <v>43981</v>
      </c>
      <c r="D517" s="8">
        <v>21.49</v>
      </c>
      <c r="F517" s="8">
        <v>21.84</v>
      </c>
      <c r="H517" s="8">
        <v>22.22</v>
      </c>
      <c r="J517" s="8">
        <v>22.66</v>
      </c>
    </row>
    <row r="518" spans="1:10" x14ac:dyDescent="0.35">
      <c r="A518" s="7">
        <v>43982</v>
      </c>
      <c r="D518" s="8">
        <v>21.49</v>
      </c>
      <c r="F518" s="8">
        <v>21.84</v>
      </c>
      <c r="H518" s="8">
        <v>22.22</v>
      </c>
      <c r="J518" s="8">
        <v>22.66</v>
      </c>
    </row>
    <row r="519" spans="1:10" x14ac:dyDescent="0.35">
      <c r="A519" s="7">
        <v>43983</v>
      </c>
      <c r="D519" s="8">
        <v>21.12</v>
      </c>
      <c r="F519" s="8">
        <v>21.4</v>
      </c>
      <c r="H519" s="8">
        <v>21.79</v>
      </c>
      <c r="J519" s="8">
        <v>22.33</v>
      </c>
    </row>
    <row r="520" spans="1:10" x14ac:dyDescent="0.35">
      <c r="A520" s="7">
        <v>43984</v>
      </c>
      <c r="D520" s="8">
        <v>21.53</v>
      </c>
      <c r="F520" s="8">
        <v>21.84</v>
      </c>
      <c r="H520" s="8">
        <v>22.45</v>
      </c>
      <c r="J520" s="8">
        <v>23.24</v>
      </c>
    </row>
    <row r="521" spans="1:10" x14ac:dyDescent="0.35">
      <c r="A521" s="7">
        <v>43985</v>
      </c>
      <c r="D521" s="8">
        <v>21.99</v>
      </c>
      <c r="F521" s="8">
        <v>22.29</v>
      </c>
      <c r="H521" s="8">
        <v>22.63</v>
      </c>
      <c r="J521" s="8">
        <v>23.25</v>
      </c>
    </row>
    <row r="522" spans="1:10" x14ac:dyDescent="0.35">
      <c r="A522" s="7">
        <v>43986</v>
      </c>
      <c r="D522" s="8">
        <v>22.02</v>
      </c>
      <c r="F522" s="8">
        <v>22.37</v>
      </c>
      <c r="H522" s="8">
        <v>22.72</v>
      </c>
      <c r="J522" s="8">
        <v>23.38</v>
      </c>
    </row>
    <row r="523" spans="1:10" x14ac:dyDescent="0.35">
      <c r="A523" s="7">
        <v>43987</v>
      </c>
      <c r="D523" s="8">
        <v>22.68</v>
      </c>
      <c r="F523" s="8">
        <v>23.12</v>
      </c>
      <c r="H523" s="8">
        <v>23.46</v>
      </c>
      <c r="J523" s="8">
        <v>24.42</v>
      </c>
    </row>
    <row r="524" spans="1:10" x14ac:dyDescent="0.35">
      <c r="A524" s="7">
        <v>43988</v>
      </c>
      <c r="D524" s="8">
        <v>22.68</v>
      </c>
      <c r="F524" s="8">
        <v>23.12</v>
      </c>
      <c r="H524" s="8">
        <v>23.46</v>
      </c>
      <c r="J524" s="8">
        <v>24.42</v>
      </c>
    </row>
    <row r="525" spans="1:10" x14ac:dyDescent="0.35">
      <c r="A525" s="7">
        <v>43989</v>
      </c>
      <c r="D525" s="8">
        <v>22.68</v>
      </c>
      <c r="F525" s="8">
        <v>23.12</v>
      </c>
      <c r="H525" s="8">
        <v>23.46</v>
      </c>
      <c r="J525" s="8">
        <v>24.42</v>
      </c>
    </row>
    <row r="526" spans="1:10" x14ac:dyDescent="0.35">
      <c r="A526" s="7">
        <v>43990</v>
      </c>
      <c r="D526" s="8">
        <v>22.85</v>
      </c>
      <c r="F526" s="8">
        <v>23.18</v>
      </c>
      <c r="H526" s="8">
        <v>23.58</v>
      </c>
      <c r="J526" s="8">
        <v>23.78</v>
      </c>
    </row>
    <row r="527" spans="1:10" x14ac:dyDescent="0.35">
      <c r="A527" s="7">
        <v>43991</v>
      </c>
      <c r="D527" s="8">
        <v>22.51</v>
      </c>
      <c r="F527" s="8">
        <v>22.84</v>
      </c>
      <c r="H527" s="8">
        <v>23.27</v>
      </c>
      <c r="J527" s="8">
        <v>23.58</v>
      </c>
    </row>
    <row r="528" spans="1:10" x14ac:dyDescent="0.35">
      <c r="A528" s="7">
        <v>43992</v>
      </c>
      <c r="D528" s="8">
        <v>22.32</v>
      </c>
      <c r="F528" s="8">
        <v>22.63</v>
      </c>
      <c r="H528" s="8">
        <v>23.06</v>
      </c>
      <c r="J528" s="8">
        <v>23.62</v>
      </c>
    </row>
    <row r="529" spans="1:10" x14ac:dyDescent="0.35">
      <c r="A529" s="7">
        <v>43993</v>
      </c>
      <c r="D529" s="8">
        <v>22.32</v>
      </c>
      <c r="F529" s="8">
        <v>22.63</v>
      </c>
      <c r="H529" s="8">
        <v>23.06</v>
      </c>
      <c r="J529" s="8">
        <v>23.62</v>
      </c>
    </row>
    <row r="530" spans="1:10" x14ac:dyDescent="0.35">
      <c r="A530" s="7">
        <v>43994</v>
      </c>
      <c r="D530" s="8">
        <v>22.08</v>
      </c>
      <c r="F530" s="8">
        <v>22.43</v>
      </c>
      <c r="H530" s="8">
        <v>22.79</v>
      </c>
      <c r="J530" s="8">
        <v>23.3</v>
      </c>
    </row>
    <row r="531" spans="1:10" x14ac:dyDescent="0.35">
      <c r="A531" s="7">
        <v>43995</v>
      </c>
      <c r="D531" s="8">
        <v>22.08</v>
      </c>
      <c r="F531" s="8">
        <v>22.43</v>
      </c>
      <c r="H531" s="8">
        <v>22.79</v>
      </c>
      <c r="J531" s="8">
        <v>23.3</v>
      </c>
    </row>
    <row r="532" spans="1:10" x14ac:dyDescent="0.35">
      <c r="A532" s="7">
        <v>43996</v>
      </c>
      <c r="D532" s="8">
        <v>22.08</v>
      </c>
      <c r="F532" s="8">
        <v>22.43</v>
      </c>
      <c r="H532" s="8">
        <v>22.79</v>
      </c>
      <c r="J532" s="8">
        <v>23.3</v>
      </c>
    </row>
    <row r="533" spans="1:10" x14ac:dyDescent="0.35">
      <c r="A533" s="7">
        <v>43997</v>
      </c>
      <c r="D533" s="8">
        <v>21.85</v>
      </c>
      <c r="F533" s="8">
        <v>22.18</v>
      </c>
      <c r="H533" s="8">
        <v>22.56</v>
      </c>
      <c r="J533" s="8">
        <v>23.12</v>
      </c>
    </row>
    <row r="534" spans="1:10" x14ac:dyDescent="0.35">
      <c r="A534" s="7">
        <v>43998</v>
      </c>
      <c r="D534" s="8">
        <v>22.87</v>
      </c>
      <c r="F534" s="8">
        <v>23.29</v>
      </c>
      <c r="H534" s="8">
        <v>23.8</v>
      </c>
      <c r="J534" s="8">
        <v>24.17</v>
      </c>
    </row>
    <row r="535" spans="1:10" x14ac:dyDescent="0.35">
      <c r="A535" s="7">
        <v>43999</v>
      </c>
      <c r="D535" s="8">
        <v>22.69</v>
      </c>
      <c r="F535" s="8">
        <v>23.07</v>
      </c>
      <c r="H535" s="8">
        <v>23.42</v>
      </c>
      <c r="J535" s="8">
        <v>23.83</v>
      </c>
    </row>
    <row r="536" spans="1:10" x14ac:dyDescent="0.35">
      <c r="A536" s="7">
        <v>44000</v>
      </c>
      <c r="D536" s="8">
        <v>23.67</v>
      </c>
      <c r="F536" s="8">
        <v>23.89</v>
      </c>
      <c r="H536" s="8">
        <v>24.49</v>
      </c>
      <c r="J536" s="8">
        <v>25.63</v>
      </c>
    </row>
    <row r="537" spans="1:10" x14ac:dyDescent="0.35">
      <c r="A537" s="7">
        <v>44001</v>
      </c>
      <c r="D537" s="8">
        <v>24.36</v>
      </c>
      <c r="F537" s="8">
        <v>24.68</v>
      </c>
      <c r="H537" s="8">
        <v>25.1</v>
      </c>
      <c r="J537" s="8">
        <v>25.4</v>
      </c>
    </row>
    <row r="538" spans="1:10" x14ac:dyDescent="0.35">
      <c r="A538" s="7">
        <v>44002</v>
      </c>
      <c r="D538" s="8">
        <v>24.36</v>
      </c>
      <c r="F538" s="8">
        <v>24.68</v>
      </c>
      <c r="H538" s="8">
        <v>25.1</v>
      </c>
      <c r="J538" s="8">
        <v>25.4</v>
      </c>
    </row>
    <row r="539" spans="1:10" x14ac:dyDescent="0.35">
      <c r="A539" s="7">
        <v>44003</v>
      </c>
      <c r="D539" s="8">
        <v>24.36</v>
      </c>
      <c r="F539" s="8">
        <v>24.68</v>
      </c>
      <c r="H539" s="8">
        <v>25.1</v>
      </c>
      <c r="J539" s="8">
        <v>25.4</v>
      </c>
    </row>
    <row r="540" spans="1:10" x14ac:dyDescent="0.35">
      <c r="A540" s="7">
        <v>44004</v>
      </c>
      <c r="D540" s="8">
        <v>24.28</v>
      </c>
      <c r="F540" s="8">
        <v>24.6</v>
      </c>
      <c r="H540" s="8">
        <v>25.06</v>
      </c>
      <c r="J540" s="8">
        <v>25.4</v>
      </c>
    </row>
    <row r="541" spans="1:10" x14ac:dyDescent="0.35">
      <c r="A541" s="7">
        <v>44005</v>
      </c>
      <c r="D541" s="8">
        <v>25.15</v>
      </c>
      <c r="F541" s="8">
        <v>25.52</v>
      </c>
      <c r="H541" s="8">
        <v>26.04</v>
      </c>
      <c r="J541" s="8">
        <v>25.4</v>
      </c>
    </row>
    <row r="542" spans="1:10" x14ac:dyDescent="0.35">
      <c r="A542" s="7">
        <v>44006</v>
      </c>
      <c r="D542" s="8">
        <v>25.2</v>
      </c>
      <c r="F542" s="8">
        <v>25.43</v>
      </c>
      <c r="H542" s="8">
        <v>25.96</v>
      </c>
      <c r="J542" s="8">
        <v>26.57</v>
      </c>
    </row>
    <row r="543" spans="1:10" x14ac:dyDescent="0.35">
      <c r="A543" s="7">
        <v>44007</v>
      </c>
      <c r="D543" s="8">
        <v>25.05</v>
      </c>
      <c r="F543" s="8">
        <v>25.36</v>
      </c>
      <c r="H543" s="8">
        <v>25.78</v>
      </c>
      <c r="J543" s="8">
        <v>26.35</v>
      </c>
    </row>
    <row r="544" spans="1:10" x14ac:dyDescent="0.35">
      <c r="A544" s="7">
        <v>44008</v>
      </c>
      <c r="D544" s="8">
        <v>25.06</v>
      </c>
      <c r="F544" s="8">
        <v>25.45</v>
      </c>
      <c r="H544" s="8">
        <v>25.81</v>
      </c>
      <c r="J544" s="8">
        <v>25.9</v>
      </c>
    </row>
    <row r="545" spans="1:10" x14ac:dyDescent="0.35">
      <c r="A545" s="7">
        <v>44009</v>
      </c>
      <c r="D545" s="8">
        <v>25.06</v>
      </c>
      <c r="F545" s="8">
        <v>25.45</v>
      </c>
      <c r="H545" s="8">
        <v>25.81</v>
      </c>
      <c r="J545" s="8">
        <v>25.9</v>
      </c>
    </row>
    <row r="546" spans="1:10" x14ac:dyDescent="0.35">
      <c r="A546" s="7">
        <v>44010</v>
      </c>
      <c r="D546" s="8">
        <v>25.06</v>
      </c>
      <c r="F546" s="8">
        <v>25.45</v>
      </c>
      <c r="H546" s="8">
        <v>25.81</v>
      </c>
      <c r="J546" s="8">
        <v>25.9</v>
      </c>
    </row>
    <row r="547" spans="1:10" x14ac:dyDescent="0.35">
      <c r="A547" s="7">
        <v>44011</v>
      </c>
      <c r="D547" s="8">
        <v>25.53</v>
      </c>
      <c r="F547" s="8">
        <v>25.62</v>
      </c>
      <c r="H547" s="8">
        <v>26.17</v>
      </c>
      <c r="J547" s="8">
        <v>27.8</v>
      </c>
    </row>
    <row r="548" spans="1:10" x14ac:dyDescent="0.35">
      <c r="A548" s="7">
        <v>44012</v>
      </c>
      <c r="D548" s="8">
        <v>26.67</v>
      </c>
      <c r="F548" s="8">
        <v>26.83</v>
      </c>
      <c r="H548" s="8">
        <v>27.36</v>
      </c>
      <c r="J548" s="8">
        <v>28.15</v>
      </c>
    </row>
    <row r="549" spans="1:10" x14ac:dyDescent="0.35">
      <c r="A549" s="7">
        <v>44013</v>
      </c>
      <c r="D549" s="8">
        <v>27.48</v>
      </c>
      <c r="F549" s="8">
        <v>27.87</v>
      </c>
      <c r="H549" s="8">
        <v>28.45</v>
      </c>
      <c r="J549" s="8">
        <v>28.87</v>
      </c>
    </row>
    <row r="550" spans="1:10" x14ac:dyDescent="0.35">
      <c r="A550" s="7">
        <v>44014</v>
      </c>
      <c r="D550" s="8">
        <v>27.44</v>
      </c>
      <c r="F550" s="8">
        <v>27.78</v>
      </c>
      <c r="H550" s="8">
        <v>28.22</v>
      </c>
      <c r="J550" s="8">
        <v>28.6</v>
      </c>
    </row>
    <row r="551" spans="1:10" x14ac:dyDescent="0.35">
      <c r="A551" s="7">
        <v>44015</v>
      </c>
      <c r="D551" s="8">
        <v>27.36</v>
      </c>
      <c r="F551" s="8">
        <v>27.53</v>
      </c>
      <c r="H551" s="8">
        <v>28.07</v>
      </c>
      <c r="J551" s="8">
        <v>29.1</v>
      </c>
    </row>
    <row r="552" spans="1:10" x14ac:dyDescent="0.35">
      <c r="A552" s="7">
        <v>44016</v>
      </c>
      <c r="D552" s="8">
        <v>27.36</v>
      </c>
      <c r="F552" s="8">
        <v>27.53</v>
      </c>
      <c r="H552" s="8">
        <v>28.07</v>
      </c>
      <c r="J552" s="8">
        <v>29.1</v>
      </c>
    </row>
    <row r="553" spans="1:10" x14ac:dyDescent="0.35">
      <c r="A553" s="7">
        <v>44017</v>
      </c>
      <c r="D553" s="8">
        <v>27.36</v>
      </c>
      <c r="F553" s="8">
        <v>27.53</v>
      </c>
      <c r="H553" s="8">
        <v>28.07</v>
      </c>
      <c r="J553" s="8">
        <v>29.1</v>
      </c>
    </row>
    <row r="554" spans="1:10" x14ac:dyDescent="0.35">
      <c r="A554" s="7">
        <v>44018</v>
      </c>
      <c r="D554" s="8">
        <v>29.22</v>
      </c>
      <c r="F554" s="8">
        <v>29.54</v>
      </c>
      <c r="H554" s="8">
        <v>30.09</v>
      </c>
      <c r="J554" s="8">
        <v>30.72</v>
      </c>
    </row>
    <row r="555" spans="1:10" x14ac:dyDescent="0.35">
      <c r="A555" s="7">
        <v>44019</v>
      </c>
      <c r="D555" s="8">
        <v>29.52</v>
      </c>
      <c r="F555" s="8">
        <v>29.83</v>
      </c>
      <c r="H555" s="8">
        <v>30.24</v>
      </c>
      <c r="J555" s="8">
        <v>30.76</v>
      </c>
    </row>
    <row r="556" spans="1:10" x14ac:dyDescent="0.35">
      <c r="A556" s="7">
        <v>44020</v>
      </c>
      <c r="D556" s="8">
        <v>28.69</v>
      </c>
      <c r="F556" s="8">
        <v>28.92</v>
      </c>
      <c r="H556" s="8">
        <v>29.28</v>
      </c>
      <c r="J556" s="8">
        <v>30.52</v>
      </c>
    </row>
    <row r="557" spans="1:10" x14ac:dyDescent="0.35">
      <c r="A557" s="7">
        <v>44021</v>
      </c>
      <c r="D557" s="8">
        <v>28.86</v>
      </c>
      <c r="F557" s="8">
        <v>29.08</v>
      </c>
      <c r="H557" s="8">
        <v>29.43</v>
      </c>
      <c r="J557" s="8">
        <v>30.08</v>
      </c>
    </row>
    <row r="558" spans="1:10" x14ac:dyDescent="0.35">
      <c r="A558" s="7">
        <v>44022</v>
      </c>
      <c r="D558" s="8">
        <v>28.25</v>
      </c>
      <c r="F558" s="8">
        <v>28.35</v>
      </c>
      <c r="H558" s="8">
        <v>28.89</v>
      </c>
      <c r="J558" s="8">
        <v>29.36</v>
      </c>
    </row>
    <row r="559" spans="1:10" x14ac:dyDescent="0.35">
      <c r="A559" s="7">
        <v>44023</v>
      </c>
      <c r="D559" s="8">
        <v>28.25</v>
      </c>
      <c r="F559" s="8">
        <v>28.35</v>
      </c>
      <c r="H559" s="8">
        <v>28.89</v>
      </c>
      <c r="J559" s="8">
        <v>29.36</v>
      </c>
    </row>
    <row r="560" spans="1:10" x14ac:dyDescent="0.35">
      <c r="A560" s="7">
        <v>44024</v>
      </c>
      <c r="D560" s="8">
        <v>28.25</v>
      </c>
      <c r="F560" s="8">
        <v>28.35</v>
      </c>
      <c r="H560" s="8">
        <v>28.89</v>
      </c>
      <c r="J560" s="8">
        <v>29.36</v>
      </c>
    </row>
    <row r="561" spans="1:10" x14ac:dyDescent="0.35">
      <c r="A561" s="7">
        <v>44025</v>
      </c>
      <c r="D561" s="8">
        <v>30.1</v>
      </c>
      <c r="F561" s="8">
        <v>30.55</v>
      </c>
      <c r="H561" s="8">
        <v>30.94</v>
      </c>
      <c r="J561" s="8">
        <v>30.6</v>
      </c>
    </row>
    <row r="562" spans="1:10" x14ac:dyDescent="0.35">
      <c r="A562" s="7">
        <v>44026</v>
      </c>
      <c r="D562" s="8">
        <v>29.29</v>
      </c>
      <c r="F562" s="8">
        <v>29.57</v>
      </c>
      <c r="H562" s="8">
        <v>29.96</v>
      </c>
      <c r="J562" s="8">
        <v>30.3</v>
      </c>
    </row>
    <row r="563" spans="1:10" x14ac:dyDescent="0.35">
      <c r="A563" s="7">
        <v>44027</v>
      </c>
      <c r="D563" s="8">
        <v>29.67</v>
      </c>
      <c r="F563" s="8">
        <v>30.12</v>
      </c>
      <c r="H563" s="8">
        <v>30.81</v>
      </c>
      <c r="J563" s="8">
        <v>31.47</v>
      </c>
    </row>
    <row r="564" spans="1:10" x14ac:dyDescent="0.35">
      <c r="A564" s="7">
        <v>44028</v>
      </c>
      <c r="D564" s="8">
        <v>28.04</v>
      </c>
      <c r="F564" s="8">
        <v>28.52</v>
      </c>
      <c r="H564" s="8">
        <v>29.8</v>
      </c>
      <c r="J564" s="8">
        <v>29.91</v>
      </c>
    </row>
    <row r="565" spans="1:10" x14ac:dyDescent="0.35">
      <c r="A565" s="7">
        <v>44029</v>
      </c>
      <c r="D565" s="8">
        <v>27.23</v>
      </c>
      <c r="F565" s="8">
        <v>27.55</v>
      </c>
      <c r="H565" s="8">
        <v>28.26</v>
      </c>
      <c r="J565" s="8">
        <v>29.09</v>
      </c>
    </row>
    <row r="566" spans="1:10" x14ac:dyDescent="0.35">
      <c r="A566" s="7">
        <v>44030</v>
      </c>
      <c r="D566" s="8">
        <v>27.23</v>
      </c>
      <c r="F566" s="8">
        <v>27.55</v>
      </c>
      <c r="H566" s="8">
        <v>28.26</v>
      </c>
      <c r="J566" s="8">
        <v>29.09</v>
      </c>
    </row>
    <row r="567" spans="1:10" x14ac:dyDescent="0.35">
      <c r="A567" s="7">
        <v>44031</v>
      </c>
      <c r="D567" s="8">
        <v>27.23</v>
      </c>
      <c r="F567" s="8">
        <v>27.55</v>
      </c>
      <c r="H567" s="8">
        <v>28.26</v>
      </c>
      <c r="J567" s="8">
        <v>29.09</v>
      </c>
    </row>
    <row r="568" spans="1:10" x14ac:dyDescent="0.35">
      <c r="A568" s="7">
        <v>44032</v>
      </c>
      <c r="D568" s="8">
        <v>26.58</v>
      </c>
      <c r="F568" s="8">
        <v>27.01</v>
      </c>
      <c r="H568" s="8">
        <v>27.28</v>
      </c>
      <c r="J568" s="8">
        <v>28.45</v>
      </c>
    </row>
    <row r="569" spans="1:10" x14ac:dyDescent="0.35">
      <c r="A569" s="7">
        <v>44033</v>
      </c>
      <c r="D569" s="8">
        <v>26.61</v>
      </c>
      <c r="F569" s="8">
        <v>27</v>
      </c>
      <c r="H569" s="8">
        <v>27.64</v>
      </c>
      <c r="J569" s="8">
        <v>28.12</v>
      </c>
    </row>
    <row r="570" spans="1:10" x14ac:dyDescent="0.35">
      <c r="A570" s="7">
        <v>44034</v>
      </c>
      <c r="D570" s="8">
        <v>26.24</v>
      </c>
      <c r="F570" s="8">
        <v>26.54</v>
      </c>
      <c r="H570" s="8">
        <v>27.18</v>
      </c>
      <c r="J570" s="8">
        <v>28.07</v>
      </c>
    </row>
    <row r="571" spans="1:10" x14ac:dyDescent="0.35">
      <c r="A571" s="7">
        <v>44035</v>
      </c>
      <c r="D571" s="8">
        <v>26.96</v>
      </c>
      <c r="F571" s="8">
        <v>27.35</v>
      </c>
      <c r="H571" s="8">
        <v>27.72</v>
      </c>
      <c r="J571" s="8">
        <v>28.68</v>
      </c>
    </row>
    <row r="572" spans="1:10" x14ac:dyDescent="0.35">
      <c r="A572" s="7">
        <v>44036</v>
      </c>
      <c r="D572" s="8">
        <v>26.55</v>
      </c>
      <c r="F572" s="8">
        <v>26.96</v>
      </c>
      <c r="H572" s="8">
        <v>27.48</v>
      </c>
      <c r="J572" s="8">
        <v>28.18</v>
      </c>
    </row>
    <row r="573" spans="1:10" x14ac:dyDescent="0.35">
      <c r="A573" s="7">
        <v>44037</v>
      </c>
      <c r="D573" s="8">
        <v>26.55</v>
      </c>
      <c r="F573" s="8">
        <v>26.96</v>
      </c>
      <c r="H573" s="8">
        <v>27.48</v>
      </c>
      <c r="J573" s="8">
        <v>28.18</v>
      </c>
    </row>
    <row r="574" spans="1:10" x14ac:dyDescent="0.35">
      <c r="A574" s="7">
        <v>44038</v>
      </c>
      <c r="D574" s="8">
        <v>26.55</v>
      </c>
      <c r="F574" s="8">
        <v>26.96</v>
      </c>
      <c r="H574" s="8">
        <v>27.48</v>
      </c>
      <c r="J574" s="8">
        <v>28.18</v>
      </c>
    </row>
    <row r="575" spans="1:10" x14ac:dyDescent="0.35">
      <c r="A575" s="7">
        <v>44039</v>
      </c>
      <c r="D575" s="8">
        <v>25.43</v>
      </c>
      <c r="F575" s="8">
        <v>25.98</v>
      </c>
      <c r="H575" s="8">
        <v>26.55</v>
      </c>
      <c r="J575" s="8">
        <v>26.82</v>
      </c>
    </row>
    <row r="576" spans="1:10" x14ac:dyDescent="0.35">
      <c r="A576" s="7">
        <v>44040</v>
      </c>
      <c r="D576" s="8">
        <v>25.38</v>
      </c>
      <c r="F576" s="8">
        <v>25.63</v>
      </c>
      <c r="H576" s="8">
        <v>26.19</v>
      </c>
      <c r="J576" s="8">
        <v>27.27</v>
      </c>
    </row>
    <row r="577" spans="1:10" x14ac:dyDescent="0.35">
      <c r="A577" s="7">
        <v>44041</v>
      </c>
      <c r="D577" s="8">
        <v>26.04</v>
      </c>
      <c r="F577" s="8">
        <v>26.47</v>
      </c>
      <c r="H577" s="8">
        <v>27.07</v>
      </c>
      <c r="J577" s="8">
        <v>27.76</v>
      </c>
    </row>
    <row r="578" spans="1:10" x14ac:dyDescent="0.35">
      <c r="A578" s="7">
        <v>44042</v>
      </c>
      <c r="D578" s="8">
        <v>25.54</v>
      </c>
      <c r="F578" s="8">
        <v>25.94</v>
      </c>
      <c r="H578" s="8">
        <v>26.52</v>
      </c>
      <c r="J578" s="8">
        <v>26.95</v>
      </c>
    </row>
    <row r="579" spans="1:10" x14ac:dyDescent="0.35">
      <c r="A579" s="7">
        <v>44043</v>
      </c>
      <c r="D579" s="8">
        <v>26.3</v>
      </c>
      <c r="F579" s="8">
        <v>26.71</v>
      </c>
      <c r="H579" s="8">
        <v>27.42</v>
      </c>
      <c r="J579" s="8">
        <v>27.87</v>
      </c>
    </row>
    <row r="580" spans="1:10" x14ac:dyDescent="0.35">
      <c r="A580" s="7">
        <v>44044</v>
      </c>
      <c r="D580" s="8">
        <v>26.3</v>
      </c>
      <c r="F580" s="8">
        <v>26.71</v>
      </c>
      <c r="H580" s="8">
        <v>27.42</v>
      </c>
      <c r="J580" s="8">
        <v>27.87</v>
      </c>
    </row>
    <row r="581" spans="1:10" x14ac:dyDescent="0.35">
      <c r="A581" s="7">
        <v>44045</v>
      </c>
      <c r="D581" s="8">
        <v>26.3</v>
      </c>
      <c r="F581" s="8">
        <v>26.71</v>
      </c>
      <c r="H581" s="8">
        <v>27.42</v>
      </c>
      <c r="J581" s="8">
        <v>27.87</v>
      </c>
    </row>
    <row r="582" spans="1:10" x14ac:dyDescent="0.35">
      <c r="A582" s="7">
        <v>44046</v>
      </c>
      <c r="D582" s="8">
        <v>25.97</v>
      </c>
      <c r="F582" s="8">
        <v>26.23</v>
      </c>
      <c r="H582" s="8">
        <v>26.88</v>
      </c>
      <c r="J582" s="8">
        <v>27.71</v>
      </c>
    </row>
    <row r="583" spans="1:10" x14ac:dyDescent="0.35">
      <c r="A583" s="7">
        <v>44047</v>
      </c>
      <c r="D583" s="8">
        <v>26.4</v>
      </c>
      <c r="F583" s="8">
        <v>26.66</v>
      </c>
      <c r="H583" s="8">
        <v>27.19</v>
      </c>
      <c r="J583" s="8">
        <v>27.91</v>
      </c>
    </row>
    <row r="584" spans="1:10" x14ac:dyDescent="0.35">
      <c r="A584" s="7">
        <v>44048</v>
      </c>
      <c r="D584" s="8">
        <v>26.73</v>
      </c>
      <c r="F584" s="8">
        <v>27.08</v>
      </c>
      <c r="H584" s="8">
        <v>27.71</v>
      </c>
      <c r="J584" s="8">
        <v>28.37</v>
      </c>
    </row>
    <row r="585" spans="1:10" x14ac:dyDescent="0.35">
      <c r="A585" s="7">
        <v>44049</v>
      </c>
      <c r="D585" s="8">
        <v>26.95</v>
      </c>
      <c r="F585" s="8">
        <v>27.14</v>
      </c>
      <c r="H585" s="8">
        <v>27.74</v>
      </c>
      <c r="J585" s="8">
        <v>28.45</v>
      </c>
    </row>
    <row r="586" spans="1:10" x14ac:dyDescent="0.35">
      <c r="A586" s="7">
        <v>44050</v>
      </c>
      <c r="D586" s="8">
        <v>26.36</v>
      </c>
      <c r="F586" s="8">
        <v>26.72</v>
      </c>
      <c r="H586" s="8">
        <v>27.21</v>
      </c>
      <c r="J586" s="8">
        <v>27.95</v>
      </c>
    </row>
    <row r="587" spans="1:10" x14ac:dyDescent="0.35">
      <c r="A587" s="7">
        <v>44051</v>
      </c>
      <c r="D587" s="8">
        <v>26.36</v>
      </c>
      <c r="F587" s="8">
        <v>26.72</v>
      </c>
      <c r="H587" s="8">
        <v>27.21</v>
      </c>
      <c r="J587" s="8">
        <v>27.95</v>
      </c>
    </row>
    <row r="588" spans="1:10" x14ac:dyDescent="0.35">
      <c r="A588" s="7">
        <v>44052</v>
      </c>
      <c r="D588" s="8">
        <v>26.36</v>
      </c>
      <c r="F588" s="8">
        <v>26.72</v>
      </c>
      <c r="H588" s="8">
        <v>27.21</v>
      </c>
      <c r="J588" s="8">
        <v>27.95</v>
      </c>
    </row>
    <row r="589" spans="1:10" x14ac:dyDescent="0.35">
      <c r="A589" s="7">
        <v>44053</v>
      </c>
      <c r="D589" s="8">
        <v>26.82</v>
      </c>
      <c r="F589" s="8">
        <v>27.16</v>
      </c>
      <c r="H589" s="8">
        <v>27.58</v>
      </c>
      <c r="J589" s="8">
        <v>27.95</v>
      </c>
    </row>
    <row r="590" spans="1:10" x14ac:dyDescent="0.35">
      <c r="A590" s="7">
        <v>44054</v>
      </c>
      <c r="D590" s="8">
        <v>26.7</v>
      </c>
      <c r="F590" s="8">
        <v>26.94</v>
      </c>
      <c r="H590" s="8">
        <v>27.47</v>
      </c>
      <c r="J590" s="8">
        <v>28.04</v>
      </c>
    </row>
    <row r="591" spans="1:10" x14ac:dyDescent="0.35">
      <c r="A591" s="7">
        <v>44055</v>
      </c>
      <c r="D591" s="8">
        <v>25.81</v>
      </c>
      <c r="F591" s="8">
        <v>26.13</v>
      </c>
      <c r="H591" s="8">
        <v>26.64</v>
      </c>
      <c r="J591" s="8">
        <v>27.35</v>
      </c>
    </row>
    <row r="592" spans="1:10" x14ac:dyDescent="0.35">
      <c r="A592" s="7">
        <v>44056</v>
      </c>
      <c r="D592" s="8">
        <v>25.81</v>
      </c>
      <c r="F592" s="8">
        <v>26.13</v>
      </c>
      <c r="H592" s="8">
        <v>26.64</v>
      </c>
      <c r="J592" s="8">
        <v>27.35</v>
      </c>
    </row>
    <row r="593" spans="1:10" x14ac:dyDescent="0.35">
      <c r="A593" s="7">
        <v>44057</v>
      </c>
      <c r="D593" s="8">
        <v>25.81</v>
      </c>
      <c r="F593" s="8">
        <v>26.13</v>
      </c>
      <c r="H593" s="8">
        <v>26.64</v>
      </c>
      <c r="J593" s="8">
        <v>27.35</v>
      </c>
    </row>
    <row r="594" spans="1:10" x14ac:dyDescent="0.35">
      <c r="A594" s="7">
        <v>44058</v>
      </c>
      <c r="D594" s="8">
        <v>25.81</v>
      </c>
      <c r="F594" s="8">
        <v>26.13</v>
      </c>
      <c r="H594" s="8">
        <v>26.64</v>
      </c>
      <c r="J594" s="8">
        <v>27.35</v>
      </c>
    </row>
    <row r="595" spans="1:10" x14ac:dyDescent="0.35">
      <c r="A595" s="7">
        <v>44059</v>
      </c>
      <c r="D595" s="8">
        <v>25.81</v>
      </c>
      <c r="F595" s="8">
        <v>26.13</v>
      </c>
      <c r="H595" s="8">
        <v>26.64</v>
      </c>
      <c r="J595" s="8">
        <v>27.35</v>
      </c>
    </row>
    <row r="596" spans="1:10" x14ac:dyDescent="0.35">
      <c r="A596" s="7">
        <v>44060</v>
      </c>
      <c r="D596" s="8">
        <v>25.69</v>
      </c>
      <c r="F596" s="8">
        <v>25.89</v>
      </c>
      <c r="H596" s="8">
        <v>26.5</v>
      </c>
      <c r="J596" s="8">
        <v>27.35</v>
      </c>
    </row>
    <row r="597" spans="1:10" x14ac:dyDescent="0.35">
      <c r="A597" s="7">
        <v>44061</v>
      </c>
      <c r="D597" s="8">
        <v>26.42</v>
      </c>
      <c r="F597" s="8">
        <v>26.71</v>
      </c>
      <c r="H597" s="8">
        <v>27.37</v>
      </c>
      <c r="J597" s="8">
        <v>27.92</v>
      </c>
    </row>
    <row r="598" spans="1:10" x14ac:dyDescent="0.35">
      <c r="A598" s="7">
        <v>44062</v>
      </c>
      <c r="D598" s="8">
        <v>26.45</v>
      </c>
      <c r="F598" s="8">
        <v>26.85</v>
      </c>
      <c r="H598" s="8">
        <v>27.39</v>
      </c>
      <c r="J598" s="8">
        <v>27.69</v>
      </c>
    </row>
    <row r="599" spans="1:10" x14ac:dyDescent="0.35">
      <c r="A599" s="7">
        <v>44063</v>
      </c>
      <c r="D599" s="8">
        <v>25.91</v>
      </c>
      <c r="F599" s="8">
        <v>26.28</v>
      </c>
      <c r="H599" s="8">
        <v>26.81</v>
      </c>
      <c r="J599" s="8">
        <v>27.35</v>
      </c>
    </row>
    <row r="600" spans="1:10" x14ac:dyDescent="0.35">
      <c r="A600" s="7">
        <v>44064</v>
      </c>
      <c r="D600" s="8">
        <v>25.53</v>
      </c>
      <c r="F600" s="8">
        <v>25.84</v>
      </c>
      <c r="H600" s="8">
        <v>26.35</v>
      </c>
      <c r="J600" s="8">
        <v>26.96</v>
      </c>
    </row>
    <row r="601" spans="1:10" x14ac:dyDescent="0.35">
      <c r="A601" s="7">
        <v>44065</v>
      </c>
      <c r="D601" s="8">
        <v>25.53</v>
      </c>
      <c r="F601" s="8">
        <v>25.84</v>
      </c>
      <c r="H601" s="8">
        <v>26.35</v>
      </c>
      <c r="J601" s="8">
        <v>26.96</v>
      </c>
    </row>
    <row r="602" spans="1:10" x14ac:dyDescent="0.35">
      <c r="A602" s="7">
        <v>44066</v>
      </c>
      <c r="D602" s="8">
        <v>25.53</v>
      </c>
      <c r="F602" s="8">
        <v>25.84</v>
      </c>
      <c r="H602" s="8">
        <v>26.35</v>
      </c>
      <c r="J602" s="8">
        <v>26.96</v>
      </c>
    </row>
    <row r="603" spans="1:10" x14ac:dyDescent="0.35">
      <c r="A603" s="7">
        <v>44067</v>
      </c>
      <c r="D603" s="8">
        <v>26.85</v>
      </c>
      <c r="F603" s="8">
        <v>27.2</v>
      </c>
      <c r="H603" s="8">
        <v>27.68</v>
      </c>
      <c r="J603" s="8">
        <v>28.35</v>
      </c>
    </row>
    <row r="604" spans="1:10" x14ac:dyDescent="0.35">
      <c r="A604" s="7">
        <v>44068</v>
      </c>
      <c r="D604" s="8">
        <v>28.05</v>
      </c>
      <c r="F604" s="8">
        <v>28.34</v>
      </c>
      <c r="H604" s="8">
        <v>28.92</v>
      </c>
      <c r="J604" s="8">
        <v>29.91</v>
      </c>
    </row>
    <row r="605" spans="1:10" x14ac:dyDescent="0.35">
      <c r="A605" s="7">
        <v>44069</v>
      </c>
      <c r="D605" s="8">
        <v>28.71</v>
      </c>
      <c r="F605" s="8">
        <v>29.09</v>
      </c>
      <c r="H605" s="8">
        <v>29.7</v>
      </c>
      <c r="J605" s="8">
        <v>30.07</v>
      </c>
    </row>
    <row r="606" spans="1:10" x14ac:dyDescent="0.35">
      <c r="A606" s="7">
        <v>44070</v>
      </c>
      <c r="D606" s="8">
        <v>28.52</v>
      </c>
      <c r="F606" s="8">
        <v>28.81</v>
      </c>
      <c r="H606" s="8">
        <v>29.41</v>
      </c>
      <c r="J606" s="8">
        <v>29.82</v>
      </c>
    </row>
    <row r="607" spans="1:10" x14ac:dyDescent="0.35">
      <c r="A607" s="7">
        <v>44071</v>
      </c>
      <c r="D607" s="8">
        <v>29.49</v>
      </c>
      <c r="F607" s="8">
        <v>29.92</v>
      </c>
      <c r="H607" s="8">
        <v>30.34</v>
      </c>
      <c r="J607" s="8">
        <v>30.97</v>
      </c>
    </row>
    <row r="608" spans="1:10" x14ac:dyDescent="0.35">
      <c r="A608" s="7">
        <v>44072</v>
      </c>
      <c r="D608" s="8">
        <v>29.49</v>
      </c>
      <c r="F608" s="8">
        <v>29.92</v>
      </c>
      <c r="H608" s="8">
        <v>30.34</v>
      </c>
      <c r="J608" s="8">
        <v>30.97</v>
      </c>
    </row>
    <row r="609" spans="1:10" x14ac:dyDescent="0.35">
      <c r="A609" s="7">
        <v>44073</v>
      </c>
      <c r="D609" s="8">
        <v>29.49</v>
      </c>
      <c r="F609" s="8">
        <v>29.92</v>
      </c>
      <c r="H609" s="8">
        <v>30.34</v>
      </c>
      <c r="J609" s="8">
        <v>30.97</v>
      </c>
    </row>
    <row r="610" spans="1:10" x14ac:dyDescent="0.35">
      <c r="A610" s="7">
        <v>44074</v>
      </c>
      <c r="D610" s="8">
        <v>29.23</v>
      </c>
      <c r="F610" s="8">
        <v>29.49</v>
      </c>
      <c r="H610" s="8">
        <v>30.27</v>
      </c>
      <c r="J610" s="8">
        <v>30.12</v>
      </c>
    </row>
    <row r="611" spans="1:10" x14ac:dyDescent="0.35">
      <c r="A611" s="7">
        <v>44075</v>
      </c>
      <c r="D611" s="8">
        <v>28.27</v>
      </c>
      <c r="F611" s="8">
        <v>28.67</v>
      </c>
      <c r="H611" s="8">
        <v>29.01</v>
      </c>
      <c r="J611" s="8">
        <v>29.2</v>
      </c>
    </row>
    <row r="612" spans="1:10" x14ac:dyDescent="0.35">
      <c r="A612" s="7">
        <v>44076</v>
      </c>
      <c r="D612" s="8">
        <v>28.02</v>
      </c>
      <c r="F612" s="8">
        <v>28.39</v>
      </c>
      <c r="H612" s="8">
        <v>28.82</v>
      </c>
      <c r="J612" s="8">
        <v>29.63</v>
      </c>
    </row>
    <row r="613" spans="1:10" x14ac:dyDescent="0.35">
      <c r="A613" s="7">
        <v>44077</v>
      </c>
      <c r="D613" s="8">
        <v>28.48</v>
      </c>
      <c r="F613" s="8">
        <v>28.78</v>
      </c>
      <c r="H613" s="8">
        <v>29.19</v>
      </c>
      <c r="J613" s="8">
        <v>30</v>
      </c>
    </row>
    <row r="614" spans="1:10" x14ac:dyDescent="0.35">
      <c r="A614" s="7">
        <v>44078</v>
      </c>
      <c r="D614" s="8">
        <v>28.25</v>
      </c>
      <c r="F614" s="8">
        <v>28.72</v>
      </c>
      <c r="H614" s="8">
        <v>28.93</v>
      </c>
      <c r="J614" s="8">
        <v>30.12</v>
      </c>
    </row>
    <row r="615" spans="1:10" x14ac:dyDescent="0.35">
      <c r="A615" s="7">
        <v>44079</v>
      </c>
      <c r="D615" s="8">
        <v>28.25</v>
      </c>
      <c r="F615" s="8">
        <v>28.72</v>
      </c>
      <c r="H615" s="8">
        <v>28.93</v>
      </c>
      <c r="J615" s="8">
        <v>30.12</v>
      </c>
    </row>
    <row r="616" spans="1:10" x14ac:dyDescent="0.35">
      <c r="A616" s="7">
        <v>44080</v>
      </c>
      <c r="D616" s="8">
        <v>28.25</v>
      </c>
      <c r="F616" s="8">
        <v>28.72</v>
      </c>
      <c r="H616" s="8">
        <v>28.93</v>
      </c>
      <c r="J616" s="8">
        <v>30.12</v>
      </c>
    </row>
    <row r="617" spans="1:10" x14ac:dyDescent="0.35">
      <c r="A617" s="7">
        <v>44081</v>
      </c>
      <c r="D617" s="8">
        <v>27.08</v>
      </c>
      <c r="F617" s="8">
        <v>27.43</v>
      </c>
      <c r="H617" s="8">
        <v>27.78</v>
      </c>
      <c r="J617" s="8">
        <v>28.18</v>
      </c>
    </row>
    <row r="618" spans="1:10" x14ac:dyDescent="0.35">
      <c r="A618" s="7">
        <v>44082</v>
      </c>
      <c r="D618" s="8">
        <v>27.29</v>
      </c>
      <c r="F618" s="8">
        <v>27.48</v>
      </c>
      <c r="H618" s="8">
        <v>28.17</v>
      </c>
      <c r="J618" s="8">
        <v>28.78</v>
      </c>
    </row>
    <row r="619" spans="1:10" x14ac:dyDescent="0.35">
      <c r="A619" s="7">
        <v>44083</v>
      </c>
      <c r="D619" s="8">
        <v>26.7</v>
      </c>
      <c r="F619" s="8">
        <v>26.96</v>
      </c>
      <c r="H619" s="8">
        <v>27.49</v>
      </c>
      <c r="J619" s="8">
        <v>27.9</v>
      </c>
    </row>
    <row r="620" spans="1:10" x14ac:dyDescent="0.35">
      <c r="A620" s="7">
        <v>44084</v>
      </c>
      <c r="D620" s="8">
        <v>27.76</v>
      </c>
      <c r="F620" s="8">
        <v>28.12</v>
      </c>
      <c r="H620" s="8">
        <v>28.46</v>
      </c>
      <c r="J620" s="8">
        <v>28.71</v>
      </c>
    </row>
    <row r="621" spans="1:10" x14ac:dyDescent="0.35">
      <c r="A621" s="7">
        <v>44085</v>
      </c>
      <c r="D621" s="8">
        <v>28</v>
      </c>
      <c r="F621" s="8">
        <v>28.3</v>
      </c>
      <c r="H621" s="8">
        <v>28.82</v>
      </c>
      <c r="J621" s="8">
        <v>29.12</v>
      </c>
    </row>
    <row r="622" spans="1:10" x14ac:dyDescent="0.35">
      <c r="A622" s="7">
        <v>44086</v>
      </c>
      <c r="D622" s="8">
        <v>28</v>
      </c>
      <c r="F622" s="8">
        <v>28.3</v>
      </c>
      <c r="H622" s="8">
        <v>28.82</v>
      </c>
      <c r="J622" s="8">
        <v>29.12</v>
      </c>
    </row>
    <row r="623" spans="1:10" x14ac:dyDescent="0.35">
      <c r="A623" s="7">
        <v>44087</v>
      </c>
      <c r="D623" s="8">
        <v>28</v>
      </c>
      <c r="F623" s="8">
        <v>28.3</v>
      </c>
      <c r="H623" s="8">
        <v>28.82</v>
      </c>
      <c r="J623" s="8">
        <v>29.12</v>
      </c>
    </row>
    <row r="624" spans="1:10" x14ac:dyDescent="0.35">
      <c r="A624" s="7">
        <v>44088</v>
      </c>
      <c r="D624" s="8">
        <v>29.49</v>
      </c>
      <c r="F624" s="8">
        <v>29.91</v>
      </c>
      <c r="H624" s="8">
        <v>30.4</v>
      </c>
      <c r="J624" s="8">
        <v>31.71</v>
      </c>
    </row>
    <row r="625" spans="1:10" x14ac:dyDescent="0.35">
      <c r="A625" s="7">
        <v>44089</v>
      </c>
      <c r="D625" s="8">
        <v>30.18</v>
      </c>
      <c r="F625" s="8">
        <v>30.47</v>
      </c>
      <c r="H625" s="8">
        <v>30.84</v>
      </c>
      <c r="J625" s="8">
        <v>31.3</v>
      </c>
    </row>
    <row r="626" spans="1:10" x14ac:dyDescent="0.35">
      <c r="A626" s="7">
        <v>44090</v>
      </c>
      <c r="D626" s="8">
        <v>29.66</v>
      </c>
      <c r="F626" s="8">
        <v>29.91</v>
      </c>
      <c r="H626" s="8">
        <v>30.26</v>
      </c>
      <c r="J626" s="8">
        <v>31.07</v>
      </c>
    </row>
    <row r="627" spans="1:10" x14ac:dyDescent="0.35">
      <c r="A627" s="7">
        <v>44091</v>
      </c>
      <c r="D627" s="8">
        <v>28.97</v>
      </c>
      <c r="F627" s="8">
        <v>29.29</v>
      </c>
      <c r="H627" s="8">
        <v>29.45</v>
      </c>
      <c r="J627" s="8">
        <v>30.1</v>
      </c>
    </row>
    <row r="628" spans="1:10" x14ac:dyDescent="0.35">
      <c r="A628" s="7">
        <v>44092</v>
      </c>
      <c r="D628" s="8">
        <v>28.23</v>
      </c>
      <c r="F628" s="8">
        <v>28.61</v>
      </c>
      <c r="H628" s="8">
        <v>28.87</v>
      </c>
      <c r="J628" s="8">
        <v>29.17</v>
      </c>
    </row>
    <row r="629" spans="1:10" x14ac:dyDescent="0.35">
      <c r="A629" s="7">
        <v>44093</v>
      </c>
      <c r="D629" s="8">
        <v>28.23</v>
      </c>
      <c r="F629" s="8">
        <v>28.61</v>
      </c>
      <c r="H629" s="8">
        <v>28.87</v>
      </c>
      <c r="J629" s="8">
        <v>29.17</v>
      </c>
    </row>
    <row r="630" spans="1:10" x14ac:dyDescent="0.35">
      <c r="A630" s="7">
        <v>44094</v>
      </c>
      <c r="D630" s="8">
        <v>28.23</v>
      </c>
      <c r="F630" s="8">
        <v>28.61</v>
      </c>
      <c r="H630" s="8">
        <v>28.87</v>
      </c>
      <c r="J630" s="8">
        <v>29.17</v>
      </c>
    </row>
    <row r="631" spans="1:10" x14ac:dyDescent="0.35">
      <c r="A631" s="7">
        <v>44095</v>
      </c>
      <c r="D631" s="8">
        <v>26.98</v>
      </c>
      <c r="F631" s="8">
        <v>27.18</v>
      </c>
      <c r="H631" s="8">
        <v>27.69</v>
      </c>
      <c r="J631" s="8">
        <v>27.95</v>
      </c>
    </row>
    <row r="632" spans="1:10" x14ac:dyDescent="0.35">
      <c r="A632" s="7">
        <v>44096</v>
      </c>
      <c r="D632" s="8">
        <v>26.58</v>
      </c>
      <c r="F632" s="8">
        <v>26.75</v>
      </c>
      <c r="H632" s="8">
        <v>27.08</v>
      </c>
      <c r="J632" s="8">
        <v>26.96</v>
      </c>
    </row>
    <row r="633" spans="1:10" x14ac:dyDescent="0.35">
      <c r="A633" s="7">
        <v>44097</v>
      </c>
      <c r="D633" s="8">
        <v>27.18</v>
      </c>
      <c r="F633" s="8">
        <v>27.32</v>
      </c>
      <c r="H633" s="8">
        <v>27.67</v>
      </c>
      <c r="J633" s="8">
        <v>28.1</v>
      </c>
    </row>
    <row r="634" spans="1:10" x14ac:dyDescent="0.35">
      <c r="A634" s="7">
        <v>44098</v>
      </c>
      <c r="D634" s="8">
        <v>26.4</v>
      </c>
      <c r="F634" s="8">
        <v>26.58</v>
      </c>
      <c r="H634" s="8">
        <v>27.08</v>
      </c>
      <c r="J634" s="8">
        <v>27.26</v>
      </c>
    </row>
    <row r="635" spans="1:10" x14ac:dyDescent="0.35">
      <c r="A635" s="7">
        <v>44099</v>
      </c>
      <c r="D635" s="8">
        <v>26.24</v>
      </c>
      <c r="F635" s="8">
        <v>26.48</v>
      </c>
      <c r="H635" s="8">
        <v>26.86</v>
      </c>
      <c r="J635" s="8">
        <v>27.25</v>
      </c>
    </row>
    <row r="636" spans="1:10" x14ac:dyDescent="0.35">
      <c r="A636" s="7">
        <v>44100</v>
      </c>
      <c r="D636" s="8">
        <v>26.24</v>
      </c>
      <c r="F636" s="8">
        <v>26.48</v>
      </c>
      <c r="H636" s="8">
        <v>26.86</v>
      </c>
      <c r="J636" s="8">
        <v>27.25</v>
      </c>
    </row>
    <row r="637" spans="1:10" x14ac:dyDescent="0.35">
      <c r="A637" s="7">
        <v>44101</v>
      </c>
      <c r="D637" s="8">
        <v>26.24</v>
      </c>
      <c r="F637" s="8">
        <v>26.48</v>
      </c>
      <c r="H637" s="8">
        <v>26.86</v>
      </c>
      <c r="J637" s="8">
        <v>27.25</v>
      </c>
    </row>
    <row r="638" spans="1:10" x14ac:dyDescent="0.35">
      <c r="A638" s="7">
        <v>44102</v>
      </c>
      <c r="D638" s="8">
        <v>26.78</v>
      </c>
      <c r="F638" s="8">
        <v>26.92</v>
      </c>
      <c r="H638" s="8">
        <v>27.03</v>
      </c>
      <c r="J638" s="8">
        <v>28.26</v>
      </c>
    </row>
    <row r="639" spans="1:10" x14ac:dyDescent="0.35">
      <c r="A639" s="7">
        <v>44103</v>
      </c>
      <c r="D639" s="8">
        <v>27.23</v>
      </c>
      <c r="F639" s="8">
        <v>27.5</v>
      </c>
      <c r="H639" s="8">
        <v>27.82</v>
      </c>
      <c r="J639" s="8">
        <v>27.82</v>
      </c>
    </row>
    <row r="640" spans="1:10" x14ac:dyDescent="0.35">
      <c r="A640" s="7">
        <v>44104</v>
      </c>
      <c r="D640" s="8">
        <v>26.79</v>
      </c>
      <c r="F640" s="8">
        <v>26.97</v>
      </c>
      <c r="H640" s="8">
        <v>27.28</v>
      </c>
      <c r="J640" s="8">
        <v>27.86</v>
      </c>
    </row>
    <row r="641" spans="1:10" x14ac:dyDescent="0.35">
      <c r="A641" s="7">
        <v>44105</v>
      </c>
      <c r="D641" s="8">
        <v>26.59</v>
      </c>
      <c r="F641" s="8">
        <v>26.8</v>
      </c>
      <c r="H641" s="8">
        <v>27.13</v>
      </c>
      <c r="J641" s="8">
        <v>27.55</v>
      </c>
    </row>
    <row r="642" spans="1:10" x14ac:dyDescent="0.35">
      <c r="A642" s="7">
        <v>44106</v>
      </c>
      <c r="D642" s="8">
        <v>26.45</v>
      </c>
      <c r="F642" s="8">
        <v>26.56</v>
      </c>
      <c r="H642" s="8">
        <v>26.91</v>
      </c>
      <c r="J642" s="8">
        <v>27.27</v>
      </c>
    </row>
    <row r="643" spans="1:10" x14ac:dyDescent="0.35">
      <c r="A643" s="7">
        <v>44107</v>
      </c>
      <c r="D643" s="8">
        <v>26.45</v>
      </c>
      <c r="F643" s="8">
        <v>26.56</v>
      </c>
      <c r="H643" s="8">
        <v>26.91</v>
      </c>
      <c r="J643" s="8">
        <v>27.27</v>
      </c>
    </row>
    <row r="644" spans="1:10" x14ac:dyDescent="0.35">
      <c r="A644" s="7">
        <v>44108</v>
      </c>
      <c r="D644" s="8">
        <v>26.45</v>
      </c>
      <c r="F644" s="8">
        <v>26.56</v>
      </c>
      <c r="H644" s="8">
        <v>26.91</v>
      </c>
      <c r="J644" s="8">
        <v>27.27</v>
      </c>
    </row>
    <row r="645" spans="1:10" x14ac:dyDescent="0.35">
      <c r="A645" s="7">
        <v>44109</v>
      </c>
      <c r="D645" s="8">
        <v>26.96</v>
      </c>
      <c r="F645" s="8">
        <v>27.09</v>
      </c>
      <c r="H645" s="8">
        <v>27.37</v>
      </c>
      <c r="J645" s="8">
        <v>28.14</v>
      </c>
    </row>
    <row r="646" spans="1:10" x14ac:dyDescent="0.35">
      <c r="A646" s="7">
        <v>44110</v>
      </c>
      <c r="D646" s="8">
        <v>26.78</v>
      </c>
      <c r="F646" s="8">
        <v>27.01</v>
      </c>
      <c r="H646" s="8">
        <v>27.39</v>
      </c>
      <c r="J646" s="8">
        <v>27.97</v>
      </c>
    </row>
    <row r="647" spans="1:10" x14ac:dyDescent="0.35">
      <c r="A647" s="7">
        <v>44111</v>
      </c>
      <c r="D647" s="8">
        <v>27.33</v>
      </c>
      <c r="F647" s="8">
        <v>27.59</v>
      </c>
      <c r="H647" s="8">
        <v>27.75</v>
      </c>
      <c r="J647" s="13">
        <v>27.87</v>
      </c>
    </row>
    <row r="648" spans="1:10" x14ac:dyDescent="0.35">
      <c r="A648" s="7">
        <v>44112</v>
      </c>
      <c r="D648" s="8">
        <v>26.53</v>
      </c>
      <c r="F648" s="8">
        <v>26.69</v>
      </c>
      <c r="H648" s="8">
        <v>27.04</v>
      </c>
      <c r="J648" s="8">
        <v>27.46</v>
      </c>
    </row>
    <row r="649" spans="1:10" x14ac:dyDescent="0.35">
      <c r="A649" s="7">
        <v>44113</v>
      </c>
      <c r="D649" s="8">
        <v>25.97</v>
      </c>
      <c r="F649" s="8">
        <v>26.11</v>
      </c>
      <c r="H649" s="8">
        <v>26.61</v>
      </c>
      <c r="J649" s="8">
        <v>26.96</v>
      </c>
    </row>
    <row r="650" spans="1:10" x14ac:dyDescent="0.35">
      <c r="A650" s="7">
        <v>44114</v>
      </c>
      <c r="D650" s="8">
        <v>25.97</v>
      </c>
      <c r="F650" s="8">
        <v>26.11</v>
      </c>
      <c r="H650" s="8">
        <v>26.61</v>
      </c>
      <c r="J650" s="8">
        <v>26.96</v>
      </c>
    </row>
    <row r="651" spans="1:10" x14ac:dyDescent="0.35">
      <c r="A651" s="7">
        <v>44115</v>
      </c>
      <c r="D651" s="8">
        <v>25.97</v>
      </c>
      <c r="F651" s="8">
        <v>26.11</v>
      </c>
      <c r="H651" s="8">
        <v>26.61</v>
      </c>
      <c r="J651" s="8">
        <v>26.96</v>
      </c>
    </row>
    <row r="652" spans="1:10" x14ac:dyDescent="0.35">
      <c r="A652" s="7">
        <v>44116</v>
      </c>
      <c r="D652" s="8">
        <v>25.53</v>
      </c>
      <c r="F652" s="8">
        <v>25.67</v>
      </c>
      <c r="H652" s="8">
        <v>26.08</v>
      </c>
      <c r="J652" s="8">
        <v>26.45</v>
      </c>
    </row>
    <row r="653" spans="1:10" x14ac:dyDescent="0.35">
      <c r="A653" s="7">
        <v>44117</v>
      </c>
      <c r="D653" s="8">
        <v>25.41</v>
      </c>
      <c r="F653" s="8">
        <v>25.62</v>
      </c>
      <c r="H653" s="8">
        <v>25.93</v>
      </c>
      <c r="J653" s="8">
        <v>26.35</v>
      </c>
    </row>
    <row r="654" spans="1:10" x14ac:dyDescent="0.35">
      <c r="A654" s="7">
        <v>44118</v>
      </c>
      <c r="D654" s="8">
        <v>25.43</v>
      </c>
      <c r="F654" s="8">
        <v>25.63</v>
      </c>
      <c r="H654" s="8">
        <v>25.96</v>
      </c>
      <c r="J654" s="8">
        <v>26.62</v>
      </c>
    </row>
    <row r="655" spans="1:10" x14ac:dyDescent="0.35">
      <c r="A655" s="7">
        <v>44119</v>
      </c>
      <c r="D655" s="8">
        <v>25.04</v>
      </c>
      <c r="F655" s="8">
        <v>25.26</v>
      </c>
      <c r="H655" s="8">
        <v>25.6</v>
      </c>
      <c r="J655" s="8">
        <v>25.71</v>
      </c>
    </row>
    <row r="656" spans="1:10" x14ac:dyDescent="0.35">
      <c r="A656" s="7">
        <v>44120</v>
      </c>
      <c r="D656" s="8">
        <v>25.14</v>
      </c>
      <c r="F656" s="8">
        <v>25.32</v>
      </c>
      <c r="H656" s="8">
        <v>25.61</v>
      </c>
      <c r="J656" s="8">
        <v>26.23</v>
      </c>
    </row>
    <row r="657" spans="1:10" x14ac:dyDescent="0.35">
      <c r="A657" s="7">
        <v>44121</v>
      </c>
      <c r="D657" s="8">
        <v>25.14</v>
      </c>
      <c r="F657" s="8">
        <v>25.32</v>
      </c>
      <c r="H657" s="8">
        <v>25.61</v>
      </c>
      <c r="J657" s="8">
        <v>26.23</v>
      </c>
    </row>
    <row r="658" spans="1:10" x14ac:dyDescent="0.35">
      <c r="A658" s="7">
        <v>44122</v>
      </c>
      <c r="D658" s="8">
        <v>25.14</v>
      </c>
      <c r="F658" s="8">
        <v>25.32</v>
      </c>
      <c r="H658" s="8">
        <v>25.61</v>
      </c>
      <c r="J658" s="8">
        <v>26.23</v>
      </c>
    </row>
    <row r="659" spans="1:10" x14ac:dyDescent="0.35">
      <c r="A659" s="7">
        <v>44123</v>
      </c>
      <c r="D659" s="8">
        <v>24.84</v>
      </c>
      <c r="F659" s="8">
        <v>25</v>
      </c>
      <c r="H659" s="8">
        <v>25.37</v>
      </c>
      <c r="J659" s="8">
        <v>25.91</v>
      </c>
    </row>
    <row r="660" spans="1:10" x14ac:dyDescent="0.35">
      <c r="A660" s="7">
        <v>44124</v>
      </c>
      <c r="D660" s="8">
        <v>24.43</v>
      </c>
      <c r="F660" s="8">
        <v>24.61</v>
      </c>
      <c r="H660" s="8">
        <v>24.9</v>
      </c>
      <c r="J660" s="8">
        <v>25.31</v>
      </c>
    </row>
    <row r="661" spans="1:10" x14ac:dyDescent="0.35">
      <c r="A661" s="7">
        <v>44125</v>
      </c>
      <c r="D661" s="8">
        <v>23.82</v>
      </c>
      <c r="F661" s="8">
        <v>24.04</v>
      </c>
      <c r="H661" s="8">
        <v>24.42</v>
      </c>
      <c r="J661" s="8">
        <v>24.75</v>
      </c>
    </row>
    <row r="662" spans="1:10" x14ac:dyDescent="0.35">
      <c r="A662" s="7">
        <v>44126</v>
      </c>
      <c r="D662" s="8">
        <v>23.7</v>
      </c>
      <c r="F662" s="8">
        <v>23.84</v>
      </c>
      <c r="H662" s="8">
        <v>24.02</v>
      </c>
      <c r="J662" s="8">
        <v>24.69</v>
      </c>
    </row>
    <row r="663" spans="1:10" x14ac:dyDescent="0.35">
      <c r="A663" s="7">
        <v>44127</v>
      </c>
      <c r="D663" s="8">
        <v>25.12</v>
      </c>
      <c r="F663" s="8">
        <v>25.34</v>
      </c>
      <c r="H663" s="8">
        <v>25.68</v>
      </c>
      <c r="J663" s="8">
        <v>26.22</v>
      </c>
    </row>
    <row r="664" spans="1:10" x14ac:dyDescent="0.35">
      <c r="A664" s="7">
        <v>44128</v>
      </c>
      <c r="D664" s="8">
        <v>25.12</v>
      </c>
      <c r="F664" s="8">
        <v>25.34</v>
      </c>
      <c r="H664" s="8">
        <v>25.68</v>
      </c>
      <c r="J664" s="8">
        <v>26.22</v>
      </c>
    </row>
    <row r="665" spans="1:10" x14ac:dyDescent="0.35">
      <c r="A665" s="7">
        <v>44129</v>
      </c>
      <c r="D665" s="8">
        <v>25.12</v>
      </c>
      <c r="F665" s="8">
        <v>25.34</v>
      </c>
      <c r="H665" s="8">
        <v>25.68</v>
      </c>
      <c r="J665" s="8">
        <v>26.22</v>
      </c>
    </row>
    <row r="666" spans="1:10" x14ac:dyDescent="0.35">
      <c r="A666" s="7">
        <v>44130</v>
      </c>
      <c r="D666" s="8">
        <v>24.45</v>
      </c>
      <c r="F666" s="8">
        <v>24.57</v>
      </c>
      <c r="H666" s="8">
        <v>24.85</v>
      </c>
      <c r="J666" s="8">
        <v>25.28</v>
      </c>
    </row>
    <row r="667" spans="1:10" x14ac:dyDescent="0.35">
      <c r="A667" s="7">
        <v>44131</v>
      </c>
      <c r="D667" s="8">
        <v>23.77</v>
      </c>
      <c r="F667" s="8">
        <v>23.95</v>
      </c>
      <c r="H667" s="8">
        <v>24.24</v>
      </c>
      <c r="J667" s="8">
        <v>24.65</v>
      </c>
    </row>
    <row r="668" spans="1:10" x14ac:dyDescent="0.35">
      <c r="A668" s="7">
        <v>44132</v>
      </c>
      <c r="D668" s="8">
        <v>23.2</v>
      </c>
      <c r="F668" s="8">
        <v>23.36</v>
      </c>
      <c r="H668" s="8">
        <v>23.69</v>
      </c>
      <c r="J668" s="8">
        <v>23.93</v>
      </c>
    </row>
    <row r="669" spans="1:10" x14ac:dyDescent="0.35">
      <c r="A669" s="7">
        <v>44133</v>
      </c>
      <c r="D669" s="8">
        <v>23.41</v>
      </c>
      <c r="F669" s="8">
        <v>23.55</v>
      </c>
      <c r="H669" s="8">
        <v>23.85</v>
      </c>
      <c r="J669" s="8">
        <v>24.37</v>
      </c>
    </row>
    <row r="670" spans="1:10" x14ac:dyDescent="0.35">
      <c r="A670" s="7">
        <v>44134</v>
      </c>
      <c r="D670" s="8">
        <v>23.7</v>
      </c>
      <c r="F670" s="8">
        <v>23.86</v>
      </c>
      <c r="H670" s="8">
        <v>24.06</v>
      </c>
      <c r="J670" s="8">
        <v>24.5</v>
      </c>
    </row>
    <row r="671" spans="1:10" x14ac:dyDescent="0.35">
      <c r="A671" s="7">
        <v>44135</v>
      </c>
      <c r="D671" s="8">
        <v>23.7</v>
      </c>
      <c r="F671" s="8">
        <v>23.86</v>
      </c>
      <c r="H671" s="8">
        <v>24.06</v>
      </c>
      <c r="J671" s="8">
        <v>24.5</v>
      </c>
    </row>
    <row r="672" spans="1:10" x14ac:dyDescent="0.35">
      <c r="A672" s="7">
        <v>44136</v>
      </c>
      <c r="D672" s="8">
        <v>23.7</v>
      </c>
      <c r="F672" s="8">
        <v>23.86</v>
      </c>
      <c r="H672" s="8">
        <v>24.06</v>
      </c>
      <c r="J672" s="8">
        <v>24.5</v>
      </c>
    </row>
    <row r="673" spans="1:10" x14ac:dyDescent="0.35">
      <c r="A673" s="7">
        <v>44137</v>
      </c>
      <c r="D673" s="8">
        <v>23.2</v>
      </c>
      <c r="F673" s="8">
        <v>23.28</v>
      </c>
      <c r="H673" s="8">
        <v>23.61</v>
      </c>
      <c r="J673" s="8">
        <v>24.54</v>
      </c>
    </row>
    <row r="674" spans="1:10" x14ac:dyDescent="0.35">
      <c r="A674" s="7">
        <v>44138</v>
      </c>
      <c r="D674" s="8">
        <v>24.28</v>
      </c>
      <c r="F674" s="8">
        <v>24.48</v>
      </c>
      <c r="H674" s="8">
        <v>24.74</v>
      </c>
      <c r="J674" s="8">
        <v>24.9</v>
      </c>
    </row>
    <row r="675" spans="1:10" x14ac:dyDescent="0.35">
      <c r="A675" s="7">
        <v>44139</v>
      </c>
      <c r="D675" s="8">
        <v>24.42</v>
      </c>
      <c r="F675" s="8">
        <v>24.49</v>
      </c>
      <c r="H675" s="8">
        <v>24.77</v>
      </c>
      <c r="J675" s="8">
        <v>25.42</v>
      </c>
    </row>
    <row r="676" spans="1:10" x14ac:dyDescent="0.35">
      <c r="A676" s="7">
        <v>44140</v>
      </c>
      <c r="D676" s="8">
        <v>25.57</v>
      </c>
      <c r="F676" s="8">
        <v>25.76</v>
      </c>
      <c r="H676" s="8">
        <v>25.92</v>
      </c>
      <c r="J676" s="8">
        <v>26.44</v>
      </c>
    </row>
    <row r="677" spans="1:10" x14ac:dyDescent="0.35">
      <c r="A677" s="7">
        <v>44141</v>
      </c>
      <c r="D677" s="8">
        <v>25.56</v>
      </c>
      <c r="F677" s="8">
        <v>25.73</v>
      </c>
      <c r="H677" s="8">
        <v>26.05</v>
      </c>
      <c r="J677" s="8">
        <v>26.33</v>
      </c>
    </row>
    <row r="678" spans="1:10" x14ac:dyDescent="0.35">
      <c r="A678" s="7">
        <v>44142</v>
      </c>
      <c r="D678" s="8">
        <v>25.56</v>
      </c>
      <c r="F678" s="8">
        <v>25.73</v>
      </c>
      <c r="H678" s="8">
        <v>26.05</v>
      </c>
      <c r="J678" s="8">
        <v>26.33</v>
      </c>
    </row>
    <row r="679" spans="1:10" x14ac:dyDescent="0.35">
      <c r="A679" s="7">
        <v>44143</v>
      </c>
      <c r="D679" s="8">
        <v>25.56</v>
      </c>
      <c r="F679" s="8">
        <v>25.73</v>
      </c>
      <c r="H679" s="8">
        <v>26.05</v>
      </c>
      <c r="J679" s="8">
        <v>26.33</v>
      </c>
    </row>
    <row r="680" spans="1:10" x14ac:dyDescent="0.35">
      <c r="A680" s="7">
        <v>44144</v>
      </c>
      <c r="D680" s="8">
        <v>26.28</v>
      </c>
      <c r="F680" s="8">
        <v>26.45</v>
      </c>
      <c r="H680" s="8">
        <v>26.69</v>
      </c>
      <c r="J680" s="8">
        <v>26.8</v>
      </c>
    </row>
    <row r="681" spans="1:10" x14ac:dyDescent="0.35">
      <c r="A681" s="7">
        <v>44145</v>
      </c>
      <c r="D681" s="8">
        <v>26.36</v>
      </c>
      <c r="F681" s="8">
        <v>26.5</v>
      </c>
      <c r="H681" s="8">
        <v>26.75</v>
      </c>
      <c r="J681" s="8">
        <v>27.05</v>
      </c>
    </row>
    <row r="682" spans="1:10" x14ac:dyDescent="0.35">
      <c r="A682" s="7">
        <v>44146</v>
      </c>
      <c r="D682" s="8">
        <v>26.66</v>
      </c>
      <c r="F682" s="8">
        <v>26.86</v>
      </c>
      <c r="H682" s="8">
        <v>27.13</v>
      </c>
      <c r="J682" s="8">
        <v>27.19</v>
      </c>
    </row>
    <row r="683" spans="1:10" x14ac:dyDescent="0.35">
      <c r="A683" s="7">
        <v>44147</v>
      </c>
      <c r="D683" s="8">
        <v>25.9</v>
      </c>
      <c r="F683" s="8">
        <v>26.03</v>
      </c>
      <c r="H683" s="8">
        <v>26.29</v>
      </c>
      <c r="J683" s="8">
        <v>26.65</v>
      </c>
    </row>
    <row r="684" spans="1:10" x14ac:dyDescent="0.35">
      <c r="A684" s="7">
        <v>44148</v>
      </c>
      <c r="D684" s="8">
        <v>26.2</v>
      </c>
      <c r="F684" s="8">
        <v>26.35</v>
      </c>
      <c r="H684" s="8">
        <v>26.74</v>
      </c>
      <c r="J684" s="8">
        <v>27.06</v>
      </c>
    </row>
    <row r="685" spans="1:10" x14ac:dyDescent="0.35">
      <c r="A685" s="7">
        <v>44149</v>
      </c>
      <c r="D685" s="8">
        <v>26.2</v>
      </c>
      <c r="F685" s="8">
        <v>26.35</v>
      </c>
      <c r="H685" s="8">
        <v>26.74</v>
      </c>
      <c r="J685" s="8">
        <v>27.06</v>
      </c>
    </row>
    <row r="686" spans="1:10" x14ac:dyDescent="0.35">
      <c r="A686" s="7">
        <v>44150</v>
      </c>
      <c r="D686" s="8">
        <v>26.2</v>
      </c>
      <c r="F686" s="8">
        <v>26.35</v>
      </c>
      <c r="H686" s="8">
        <v>26.74</v>
      </c>
      <c r="J686" s="8">
        <v>27.06</v>
      </c>
    </row>
    <row r="687" spans="1:10" x14ac:dyDescent="0.35">
      <c r="A687" s="7">
        <v>44151</v>
      </c>
      <c r="D687" s="8">
        <v>27.01</v>
      </c>
      <c r="F687" s="8">
        <v>27.13</v>
      </c>
      <c r="H687" s="8">
        <v>27.5</v>
      </c>
      <c r="J687" s="8">
        <v>27.56</v>
      </c>
    </row>
    <row r="688" spans="1:10" x14ac:dyDescent="0.35">
      <c r="A688" s="7">
        <v>44152</v>
      </c>
      <c r="D688" s="8">
        <v>26.98</v>
      </c>
      <c r="F688" s="8">
        <v>27.12</v>
      </c>
      <c r="H688" s="8">
        <v>27.26</v>
      </c>
      <c r="J688" s="8">
        <v>27.63</v>
      </c>
    </row>
    <row r="689" spans="1:10" x14ac:dyDescent="0.35">
      <c r="A689" s="7">
        <v>44153</v>
      </c>
      <c r="D689" s="8">
        <v>27.52</v>
      </c>
      <c r="F689" s="8">
        <v>27.66</v>
      </c>
      <c r="H689" s="8">
        <v>27.89</v>
      </c>
      <c r="J689" s="8">
        <v>28.31</v>
      </c>
    </row>
    <row r="690" spans="1:10" x14ac:dyDescent="0.35">
      <c r="A690" s="7">
        <v>44154</v>
      </c>
      <c r="D690" s="8">
        <v>26.82</v>
      </c>
      <c r="F690" s="8">
        <v>26.95</v>
      </c>
      <c r="H690" s="8">
        <v>27.16</v>
      </c>
      <c r="J690" s="8">
        <v>27.61</v>
      </c>
    </row>
    <row r="691" spans="1:10" x14ac:dyDescent="0.35">
      <c r="A691" s="7">
        <v>44155</v>
      </c>
      <c r="D691" s="8">
        <v>26.67</v>
      </c>
      <c r="F691" s="8">
        <v>26.84</v>
      </c>
      <c r="H691" s="8">
        <v>27.11</v>
      </c>
      <c r="J691" s="8">
        <v>27.41</v>
      </c>
    </row>
    <row r="692" spans="1:10" x14ac:dyDescent="0.35">
      <c r="A692" s="7">
        <v>44156</v>
      </c>
      <c r="D692" s="8">
        <v>26.67</v>
      </c>
      <c r="F692" s="8">
        <v>26.84</v>
      </c>
      <c r="H692" s="8">
        <v>27.11</v>
      </c>
      <c r="J692" s="8">
        <v>27.41</v>
      </c>
    </row>
    <row r="693" spans="1:10" x14ac:dyDescent="0.35">
      <c r="A693" s="7">
        <v>44157</v>
      </c>
      <c r="D693" s="8">
        <v>26.67</v>
      </c>
      <c r="F693" s="8">
        <v>26.84</v>
      </c>
      <c r="H693" s="8">
        <v>27.11</v>
      </c>
      <c r="J693" s="8">
        <v>27.41</v>
      </c>
    </row>
    <row r="694" spans="1:10" x14ac:dyDescent="0.35">
      <c r="A694" s="7">
        <v>44158</v>
      </c>
      <c r="D694" s="8">
        <v>27.27</v>
      </c>
      <c r="F694" s="8">
        <v>27.42</v>
      </c>
      <c r="H694" s="8">
        <v>27.69</v>
      </c>
      <c r="J694" s="8">
        <v>28.04</v>
      </c>
    </row>
    <row r="695" spans="1:10" x14ac:dyDescent="0.35">
      <c r="A695" s="7">
        <v>44159</v>
      </c>
      <c r="D695" s="8">
        <v>27.29</v>
      </c>
      <c r="F695" s="8">
        <v>27.42</v>
      </c>
      <c r="H695" s="8">
        <v>27.63</v>
      </c>
      <c r="J695" s="8">
        <v>28.33</v>
      </c>
    </row>
    <row r="696" spans="1:10" x14ac:dyDescent="0.35">
      <c r="A696" s="7">
        <v>44160</v>
      </c>
      <c r="D696" s="8">
        <v>27.76</v>
      </c>
      <c r="F696" s="8">
        <v>27.91</v>
      </c>
      <c r="H696" s="8">
        <v>28.08</v>
      </c>
      <c r="J696" s="8">
        <v>28.5</v>
      </c>
    </row>
    <row r="697" spans="1:10" x14ac:dyDescent="0.35">
      <c r="A697" s="7">
        <v>44161</v>
      </c>
      <c r="D697" s="8">
        <v>27.93</v>
      </c>
      <c r="F697" s="8">
        <v>28.12</v>
      </c>
      <c r="H697" s="8">
        <v>28.34</v>
      </c>
      <c r="J697" s="8">
        <v>28.63</v>
      </c>
    </row>
    <row r="698" spans="1:10" x14ac:dyDescent="0.35">
      <c r="A698" s="7">
        <v>44162</v>
      </c>
      <c r="D698" s="8">
        <v>28.26</v>
      </c>
      <c r="F698" s="8">
        <v>28.47</v>
      </c>
      <c r="H698" s="8">
        <v>28.69</v>
      </c>
      <c r="J698" s="8">
        <v>29</v>
      </c>
    </row>
    <row r="699" spans="1:10" x14ac:dyDescent="0.35">
      <c r="A699" s="7">
        <v>44163</v>
      </c>
      <c r="D699" s="8">
        <v>28.26</v>
      </c>
      <c r="F699" s="8">
        <v>28.47</v>
      </c>
      <c r="H699" s="8">
        <v>28.69</v>
      </c>
      <c r="J699" s="8">
        <v>29</v>
      </c>
    </row>
    <row r="700" spans="1:10" x14ac:dyDescent="0.35">
      <c r="A700" s="7">
        <v>44164</v>
      </c>
      <c r="D700" s="8">
        <v>28.26</v>
      </c>
      <c r="F700" s="8">
        <v>28.47</v>
      </c>
      <c r="H700" s="8">
        <v>28.69</v>
      </c>
      <c r="J700" s="8">
        <v>29</v>
      </c>
    </row>
    <row r="701" spans="1:10" x14ac:dyDescent="0.35">
      <c r="A701" s="7">
        <v>44165</v>
      </c>
      <c r="D701" s="8">
        <v>28.89</v>
      </c>
      <c r="F701" s="8">
        <v>29.15</v>
      </c>
      <c r="H701" s="8">
        <v>29.44</v>
      </c>
      <c r="J701" s="8">
        <v>29.68</v>
      </c>
    </row>
    <row r="702" spans="1:10" x14ac:dyDescent="0.35">
      <c r="A702" s="7">
        <v>44166</v>
      </c>
      <c r="D702" s="8">
        <v>29.32</v>
      </c>
      <c r="F702" s="8">
        <v>29.55</v>
      </c>
      <c r="H702" s="8">
        <v>29.71</v>
      </c>
      <c r="J702" s="8">
        <v>30</v>
      </c>
    </row>
    <row r="703" spans="1:10" x14ac:dyDescent="0.35">
      <c r="A703" s="7">
        <v>44167</v>
      </c>
      <c r="D703" s="8">
        <v>29.11</v>
      </c>
      <c r="F703" s="8">
        <v>29.3</v>
      </c>
      <c r="H703" s="8">
        <v>29.42</v>
      </c>
      <c r="J703" s="8">
        <v>29.82</v>
      </c>
    </row>
    <row r="704" spans="1:10" x14ac:dyDescent="0.35">
      <c r="A704" s="7">
        <v>44168</v>
      </c>
      <c r="D704" s="8">
        <v>29.34</v>
      </c>
      <c r="F704" s="8">
        <v>29.53</v>
      </c>
      <c r="H704" s="8">
        <v>29.81</v>
      </c>
      <c r="J704" s="8">
        <v>30.11</v>
      </c>
    </row>
    <row r="705" spans="1:12" x14ac:dyDescent="0.35">
      <c r="A705" s="7">
        <v>44169</v>
      </c>
      <c r="D705" s="8">
        <v>29.94</v>
      </c>
      <c r="F705" s="8">
        <v>30.2</v>
      </c>
      <c r="H705" s="8">
        <v>30.46</v>
      </c>
      <c r="J705" s="8">
        <v>30.84</v>
      </c>
    </row>
    <row r="706" spans="1:12" x14ac:dyDescent="0.35">
      <c r="A706" s="7">
        <v>44170</v>
      </c>
      <c r="D706" s="8">
        <v>29.94</v>
      </c>
      <c r="F706" s="8">
        <v>30.2</v>
      </c>
      <c r="H706" s="8">
        <v>30.46</v>
      </c>
      <c r="J706" s="8">
        <v>30.84</v>
      </c>
    </row>
    <row r="707" spans="1:12" x14ac:dyDescent="0.35">
      <c r="A707" s="7">
        <v>44171</v>
      </c>
      <c r="D707" s="8">
        <v>29.94</v>
      </c>
      <c r="F707" s="8">
        <v>30.2</v>
      </c>
      <c r="H707" s="8">
        <v>30.46</v>
      </c>
      <c r="J707" s="8">
        <v>30.84</v>
      </c>
    </row>
    <row r="708" spans="1:12" x14ac:dyDescent="0.35">
      <c r="A708" s="7">
        <v>44172</v>
      </c>
      <c r="D708" s="8">
        <v>29.68</v>
      </c>
      <c r="F708" s="8">
        <v>29.87</v>
      </c>
      <c r="H708" s="8">
        <v>30.09</v>
      </c>
      <c r="J708" s="8">
        <v>30.55</v>
      </c>
    </row>
    <row r="709" spans="1:12" x14ac:dyDescent="0.35">
      <c r="A709" s="7">
        <v>44173</v>
      </c>
      <c r="D709" s="8">
        <v>29.78</v>
      </c>
      <c r="F709" s="8">
        <v>29.97</v>
      </c>
      <c r="H709" s="8">
        <v>30.24</v>
      </c>
      <c r="J709" s="8">
        <v>30.67</v>
      </c>
    </row>
    <row r="710" spans="1:12" x14ac:dyDescent="0.35">
      <c r="A710" s="7">
        <v>44174</v>
      </c>
      <c r="D710" s="8">
        <v>29.98</v>
      </c>
      <c r="F710" s="8">
        <v>30.19</v>
      </c>
      <c r="H710" s="8">
        <v>30.43</v>
      </c>
      <c r="J710" s="8">
        <v>30.79</v>
      </c>
    </row>
    <row r="711" spans="1:12" x14ac:dyDescent="0.35">
      <c r="A711" s="7">
        <v>44175</v>
      </c>
      <c r="D711" s="8">
        <v>30.41</v>
      </c>
      <c r="F711" s="8">
        <v>30.66</v>
      </c>
      <c r="H711" s="8">
        <v>30.97</v>
      </c>
      <c r="J711" s="8">
        <v>31.28</v>
      </c>
    </row>
    <row r="712" spans="1:12" x14ac:dyDescent="0.35">
      <c r="A712" s="7">
        <v>44176</v>
      </c>
      <c r="D712" s="8">
        <v>30.72</v>
      </c>
      <c r="F712" s="8">
        <v>30.92</v>
      </c>
      <c r="H712" s="8">
        <v>31.27</v>
      </c>
      <c r="J712" s="8">
        <v>31.32</v>
      </c>
    </row>
    <row r="713" spans="1:12" x14ac:dyDescent="0.35">
      <c r="A713" s="7">
        <v>44177</v>
      </c>
      <c r="D713" s="8">
        <v>30.72</v>
      </c>
      <c r="F713" s="8">
        <v>30.92</v>
      </c>
      <c r="H713" s="8">
        <v>31.27</v>
      </c>
      <c r="J713" s="8">
        <v>31.32</v>
      </c>
    </row>
    <row r="714" spans="1:12" x14ac:dyDescent="0.35">
      <c r="A714" s="7">
        <v>44178</v>
      </c>
      <c r="D714" s="8">
        <v>30.72</v>
      </c>
      <c r="F714" s="8">
        <v>30.92</v>
      </c>
      <c r="H714" s="8">
        <v>31.27</v>
      </c>
      <c r="J714" s="8">
        <v>31.32</v>
      </c>
    </row>
    <row r="715" spans="1:12" x14ac:dyDescent="0.35">
      <c r="A715" s="7">
        <v>44179</v>
      </c>
      <c r="D715" s="8">
        <v>30.72</v>
      </c>
      <c r="F715" s="8">
        <v>31.3</v>
      </c>
      <c r="H715" s="8">
        <v>31.52</v>
      </c>
      <c r="J715" s="8">
        <v>31.87</v>
      </c>
    </row>
    <row r="716" spans="1:12" x14ac:dyDescent="0.35">
      <c r="A716" s="7">
        <v>44180</v>
      </c>
      <c r="D716" s="8">
        <v>32.01</v>
      </c>
      <c r="F716" s="8">
        <v>32.33</v>
      </c>
      <c r="H716" s="8">
        <v>32.659999999999997</v>
      </c>
      <c r="J716" s="8">
        <v>33.229999999999997</v>
      </c>
    </row>
    <row r="717" spans="1:12" x14ac:dyDescent="0.35">
      <c r="A717" s="7">
        <v>44181</v>
      </c>
      <c r="F717" s="8">
        <v>32</v>
      </c>
      <c r="H717" s="8">
        <v>32.200000000000003</v>
      </c>
      <c r="J717" s="8">
        <v>32.53</v>
      </c>
    </row>
    <row r="718" spans="1:12" x14ac:dyDescent="0.35">
      <c r="A718" s="7">
        <v>44182</v>
      </c>
      <c r="F718" s="8">
        <v>31.95</v>
      </c>
      <c r="H718" s="8">
        <v>32.229999999999997</v>
      </c>
      <c r="J718" s="8">
        <v>32.47</v>
      </c>
      <c r="L718" s="8">
        <v>33.04</v>
      </c>
    </row>
    <row r="719" spans="1:12" x14ac:dyDescent="0.35">
      <c r="A719" s="7">
        <v>44183</v>
      </c>
      <c r="F719" s="8">
        <v>31.25</v>
      </c>
      <c r="H719" s="8">
        <v>31.55</v>
      </c>
      <c r="J719" s="8">
        <v>32.08</v>
      </c>
      <c r="L719" s="11">
        <f>L718-AVERAGE(F718-F719,H718-H719,J718-J719)</f>
        <v>32.450000000000003</v>
      </c>
    </row>
    <row r="720" spans="1:12" x14ac:dyDescent="0.35">
      <c r="A720" s="7">
        <v>44184</v>
      </c>
      <c r="F720" s="8">
        <v>31.25</v>
      </c>
      <c r="H720" s="8">
        <v>31.55</v>
      </c>
      <c r="J720" s="8">
        <v>32.08</v>
      </c>
      <c r="L720" s="11">
        <f>L719-AVERAGE(F719-F720,H719-H720,J719-J720)</f>
        <v>32.450000000000003</v>
      </c>
    </row>
    <row r="721" spans="1:12" x14ac:dyDescent="0.35">
      <c r="A721" s="7">
        <v>44185</v>
      </c>
      <c r="F721" s="8">
        <v>31.25</v>
      </c>
      <c r="H721" s="8">
        <v>31.55</v>
      </c>
      <c r="J721" s="8">
        <v>32.08</v>
      </c>
      <c r="L721" s="11">
        <f>L720-AVERAGE(F720-F721,H720-H721,J720-J721)</f>
        <v>32.450000000000003</v>
      </c>
    </row>
    <row r="722" spans="1:12" x14ac:dyDescent="0.35">
      <c r="A722" s="7">
        <v>44186</v>
      </c>
      <c r="F722" s="8">
        <v>30.33</v>
      </c>
      <c r="H722" s="8">
        <v>30.64</v>
      </c>
      <c r="J722" s="8">
        <v>31.2</v>
      </c>
      <c r="L722" s="11">
        <f>L721-AVERAGE(F721-F722,H721-H722,J721-J722)</f>
        <v>31.54666666666667</v>
      </c>
    </row>
    <row r="723" spans="1:12" x14ac:dyDescent="0.35">
      <c r="A723" s="7">
        <v>44187</v>
      </c>
      <c r="F723" s="8">
        <v>31</v>
      </c>
      <c r="H723" s="8">
        <v>31.36</v>
      </c>
      <c r="J723" s="8">
        <v>31.78</v>
      </c>
      <c r="L723" s="11">
        <f>L722-AVERAGE(F722-F723,H722-H723,J722-J723)</f>
        <v>32.20333333333334</v>
      </c>
    </row>
    <row r="724" spans="1:12" x14ac:dyDescent="0.35">
      <c r="A724" s="7">
        <v>44188</v>
      </c>
      <c r="F724" s="8">
        <v>32.22</v>
      </c>
      <c r="H724" s="8">
        <v>32.33</v>
      </c>
      <c r="J724" s="8">
        <v>32.799999999999997</v>
      </c>
      <c r="L724" s="11">
        <v>33.19</v>
      </c>
    </row>
    <row r="725" spans="1:12" x14ac:dyDescent="0.35">
      <c r="A725" s="7">
        <v>44189</v>
      </c>
      <c r="F725" s="8">
        <v>32.22</v>
      </c>
      <c r="H725" s="8">
        <v>32.33</v>
      </c>
      <c r="J725" s="8">
        <v>32.799999999999997</v>
      </c>
      <c r="L725" s="11">
        <v>33.19</v>
      </c>
    </row>
    <row r="726" spans="1:12" x14ac:dyDescent="0.35">
      <c r="A726" s="7">
        <v>44190</v>
      </c>
      <c r="F726" s="8">
        <v>32.22</v>
      </c>
      <c r="H726" s="8">
        <v>32.33</v>
      </c>
      <c r="J726" s="8">
        <v>32.799999999999997</v>
      </c>
      <c r="L726" s="11">
        <v>33.19</v>
      </c>
    </row>
    <row r="727" spans="1:12" x14ac:dyDescent="0.35">
      <c r="A727" s="7">
        <v>44191</v>
      </c>
      <c r="F727" s="8">
        <v>32.22</v>
      </c>
      <c r="H727" s="8">
        <v>32.33</v>
      </c>
      <c r="J727" s="8">
        <v>32.799999999999997</v>
      </c>
      <c r="L727" s="11">
        <v>33.19</v>
      </c>
    </row>
    <row r="728" spans="1:12" x14ac:dyDescent="0.35">
      <c r="A728" s="7">
        <v>44192</v>
      </c>
      <c r="F728" s="8">
        <v>32.22</v>
      </c>
      <c r="H728" s="8">
        <v>32.33</v>
      </c>
      <c r="J728" s="8">
        <v>32.799999999999997</v>
      </c>
      <c r="L728" s="11">
        <v>33.19</v>
      </c>
    </row>
    <row r="729" spans="1:12" x14ac:dyDescent="0.35">
      <c r="A729" s="7">
        <v>44193</v>
      </c>
      <c r="F729" s="8">
        <v>33.19</v>
      </c>
      <c r="H729" s="8">
        <v>33.31</v>
      </c>
      <c r="J729" s="8">
        <v>33.71</v>
      </c>
      <c r="L729" s="8">
        <v>34.39</v>
      </c>
    </row>
    <row r="730" spans="1:12" x14ac:dyDescent="0.35">
      <c r="A730" s="7">
        <v>44194</v>
      </c>
      <c r="F730" s="8">
        <v>32.99</v>
      </c>
      <c r="H730" s="8">
        <v>33.24</v>
      </c>
      <c r="J730" s="8">
        <v>33.630000000000003</v>
      </c>
      <c r="L730" s="11">
        <v>34.049999999999997</v>
      </c>
    </row>
    <row r="731" spans="1:12" x14ac:dyDescent="0.35">
      <c r="A731" s="7">
        <v>44195</v>
      </c>
      <c r="F731" s="8">
        <v>32.840000000000003</v>
      </c>
      <c r="H731" s="8">
        <v>32.97</v>
      </c>
      <c r="J731" s="8">
        <v>33.450000000000003</v>
      </c>
      <c r="L731" s="11">
        <v>33.22</v>
      </c>
    </row>
    <row r="732" spans="1:12" x14ac:dyDescent="0.35">
      <c r="A732" s="7">
        <v>44196</v>
      </c>
      <c r="F732" s="8">
        <v>32.65</v>
      </c>
      <c r="H732" s="8">
        <v>32.869999999999997</v>
      </c>
      <c r="J732" s="8">
        <v>33.5</v>
      </c>
      <c r="L732" s="8">
        <v>34.020000000000003</v>
      </c>
    </row>
    <row r="733" spans="1:12" x14ac:dyDescent="0.35">
      <c r="A733" s="7">
        <v>44197</v>
      </c>
      <c r="F733" s="8">
        <v>32.65</v>
      </c>
      <c r="H733" s="8">
        <v>32.869999999999997</v>
      </c>
      <c r="J733" s="8">
        <v>33.5</v>
      </c>
      <c r="L733" s="8">
        <v>34.020000000000003</v>
      </c>
    </row>
    <row r="734" spans="1:12" x14ac:dyDescent="0.35">
      <c r="A734" s="7">
        <v>44198</v>
      </c>
      <c r="F734" s="8">
        <v>32.65</v>
      </c>
      <c r="H734" s="8">
        <v>32.869999999999997</v>
      </c>
      <c r="J734" s="8">
        <v>33.5</v>
      </c>
      <c r="L734" s="8">
        <v>34.020000000000003</v>
      </c>
    </row>
    <row r="735" spans="1:12" x14ac:dyDescent="0.35">
      <c r="A735" s="7">
        <v>44199</v>
      </c>
      <c r="F735" s="8">
        <v>32.65</v>
      </c>
      <c r="H735" s="8">
        <v>32.869999999999997</v>
      </c>
      <c r="J735" s="8">
        <v>33.5</v>
      </c>
      <c r="L735" s="8">
        <v>34.020000000000003</v>
      </c>
    </row>
    <row r="736" spans="1:12" x14ac:dyDescent="0.35">
      <c r="A736" s="7">
        <v>44200</v>
      </c>
      <c r="F736" s="8">
        <v>33.86</v>
      </c>
      <c r="H736" s="8">
        <v>34.1</v>
      </c>
      <c r="J736" s="8">
        <v>34.450000000000003</v>
      </c>
      <c r="L736" s="11">
        <v>34.71</v>
      </c>
    </row>
    <row r="737" spans="1:12" x14ac:dyDescent="0.35">
      <c r="A737" s="7">
        <v>44201</v>
      </c>
      <c r="F737" s="8">
        <v>33.86</v>
      </c>
      <c r="H737" s="8">
        <v>34.1</v>
      </c>
      <c r="J737" s="8">
        <v>33.799999999999997</v>
      </c>
      <c r="L737" s="11">
        <v>34.71</v>
      </c>
    </row>
    <row r="738" spans="1:12" x14ac:dyDescent="0.35">
      <c r="A738" s="7">
        <v>44202</v>
      </c>
      <c r="F738" s="8">
        <v>33.86</v>
      </c>
      <c r="H738" s="8">
        <v>34.1</v>
      </c>
      <c r="J738" s="8">
        <v>33.61</v>
      </c>
      <c r="L738" s="11">
        <v>34.71</v>
      </c>
    </row>
    <row r="739" spans="1:12" x14ac:dyDescent="0.35">
      <c r="A739" s="7">
        <v>44203</v>
      </c>
      <c r="F739" s="8">
        <v>34.35</v>
      </c>
      <c r="H739" s="8">
        <v>34.53</v>
      </c>
      <c r="J739" s="8">
        <v>34.89</v>
      </c>
      <c r="L739" s="11">
        <f>AVERAGE(F739-F738,H739-H738,J739-J738)+L738</f>
        <v>35.443333333333335</v>
      </c>
    </row>
    <row r="740" spans="1:12" x14ac:dyDescent="0.35">
      <c r="A740" s="7">
        <v>44204</v>
      </c>
      <c r="F740" s="8">
        <v>34.79</v>
      </c>
      <c r="H740" s="8">
        <v>35.020000000000003</v>
      </c>
      <c r="J740" s="8">
        <v>34.89</v>
      </c>
      <c r="L740" s="11">
        <v>35.97</v>
      </c>
    </row>
    <row r="741" spans="1:12" x14ac:dyDescent="0.35">
      <c r="A741" s="7">
        <v>44205</v>
      </c>
      <c r="F741" s="8">
        <v>34.79</v>
      </c>
      <c r="H741" s="8">
        <v>35.020000000000003</v>
      </c>
      <c r="J741" s="8">
        <v>34.89</v>
      </c>
      <c r="L741" s="11">
        <v>35.97</v>
      </c>
    </row>
    <row r="742" spans="1:12" x14ac:dyDescent="0.35">
      <c r="A742" s="7">
        <v>44206</v>
      </c>
      <c r="F742" s="8">
        <v>34.79</v>
      </c>
      <c r="H742" s="8">
        <v>35.020000000000003</v>
      </c>
      <c r="J742" s="8">
        <v>34.89</v>
      </c>
      <c r="L742" s="11">
        <v>35.97</v>
      </c>
    </row>
    <row r="743" spans="1:12" x14ac:dyDescent="0.35">
      <c r="A743" s="7">
        <v>44207</v>
      </c>
      <c r="F743" s="8">
        <v>34.6</v>
      </c>
      <c r="H743" s="8">
        <v>34.799999999999997</v>
      </c>
      <c r="J743" s="8">
        <v>35.18</v>
      </c>
      <c r="L743" s="8">
        <v>35.520000000000003</v>
      </c>
    </row>
    <row r="744" spans="1:12" x14ac:dyDescent="0.35">
      <c r="A744" s="7">
        <v>44208</v>
      </c>
      <c r="F744" s="8">
        <v>34.979999999999997</v>
      </c>
      <c r="H744" s="8">
        <v>35.17</v>
      </c>
      <c r="J744" s="8">
        <v>35.619999999999997</v>
      </c>
      <c r="L744" s="8">
        <v>36.31</v>
      </c>
    </row>
    <row r="745" spans="1:12" x14ac:dyDescent="0.35">
      <c r="A745" s="7">
        <v>44209</v>
      </c>
      <c r="F745" s="8">
        <v>33.81</v>
      </c>
      <c r="H745" s="8">
        <v>34.22</v>
      </c>
      <c r="J745" s="8">
        <v>34.369999999999997</v>
      </c>
      <c r="L745" s="8">
        <v>35.03</v>
      </c>
    </row>
    <row r="746" spans="1:12" x14ac:dyDescent="0.35">
      <c r="A746" s="7">
        <v>44210</v>
      </c>
      <c r="F746" s="8">
        <v>33.24</v>
      </c>
      <c r="H746" s="8">
        <v>33.369999999999997</v>
      </c>
      <c r="J746" s="8">
        <v>33.869999999999997</v>
      </c>
      <c r="L746" s="8">
        <v>34.15</v>
      </c>
    </row>
    <row r="747" spans="1:12" x14ac:dyDescent="0.35">
      <c r="A747" s="7">
        <v>44211</v>
      </c>
      <c r="F747" s="8">
        <v>32.369999999999997</v>
      </c>
      <c r="H747" s="8">
        <v>32.520000000000003</v>
      </c>
      <c r="J747" s="8">
        <v>33.06</v>
      </c>
      <c r="L747" s="8">
        <v>33.76</v>
      </c>
    </row>
    <row r="748" spans="1:12" x14ac:dyDescent="0.35">
      <c r="A748" s="7">
        <v>44212</v>
      </c>
      <c r="F748" s="8">
        <v>32.369999999999997</v>
      </c>
      <c r="H748" s="8">
        <v>32.520000000000003</v>
      </c>
      <c r="J748" s="8">
        <v>33.06</v>
      </c>
      <c r="L748" s="8">
        <v>33.76</v>
      </c>
    </row>
    <row r="749" spans="1:12" x14ac:dyDescent="0.35">
      <c r="A749" s="7">
        <v>44213</v>
      </c>
      <c r="F749" s="8">
        <v>32.369999999999997</v>
      </c>
      <c r="H749" s="8">
        <v>32.520000000000003</v>
      </c>
      <c r="J749" s="8">
        <v>33.06</v>
      </c>
      <c r="L749" s="8">
        <v>33.76</v>
      </c>
    </row>
    <row r="750" spans="1:12" x14ac:dyDescent="0.35">
      <c r="A750" s="7">
        <v>44214</v>
      </c>
      <c r="F750" s="8">
        <v>31.78</v>
      </c>
      <c r="H750" s="8">
        <v>32.07</v>
      </c>
      <c r="J750" s="8">
        <v>32.53</v>
      </c>
      <c r="L750" s="8">
        <v>33.130000000000003</v>
      </c>
    </row>
    <row r="751" spans="1:12" x14ac:dyDescent="0.35">
      <c r="A751" s="7">
        <v>44215</v>
      </c>
      <c r="F751" s="8">
        <v>32.57</v>
      </c>
      <c r="H751" s="8">
        <v>32.82</v>
      </c>
      <c r="J751" s="8">
        <v>33.340000000000003</v>
      </c>
      <c r="L751" s="8">
        <v>33.72</v>
      </c>
    </row>
    <row r="752" spans="1:12" x14ac:dyDescent="0.35">
      <c r="A752" s="7">
        <v>44216</v>
      </c>
      <c r="F752" s="8">
        <v>33.15</v>
      </c>
      <c r="H752" s="8">
        <v>33.380000000000003</v>
      </c>
      <c r="J752" s="8">
        <v>33.880000000000003</v>
      </c>
      <c r="L752" s="8">
        <v>34.54</v>
      </c>
    </row>
    <row r="753" spans="1:16" x14ac:dyDescent="0.35">
      <c r="A753" s="7">
        <v>44217</v>
      </c>
      <c r="F753" s="8">
        <v>33.5</v>
      </c>
      <c r="H753" s="8">
        <v>33.85</v>
      </c>
      <c r="J753" s="8">
        <v>34.11</v>
      </c>
      <c r="L753" s="11">
        <v>35.18</v>
      </c>
    </row>
    <row r="754" spans="1:16" x14ac:dyDescent="0.35">
      <c r="A754" s="7">
        <v>44218</v>
      </c>
      <c r="F754" s="8">
        <v>33.909999999999997</v>
      </c>
      <c r="H754" s="8">
        <v>34.07</v>
      </c>
      <c r="J754" s="8">
        <v>34.450000000000003</v>
      </c>
      <c r="L754" s="8">
        <v>34.83</v>
      </c>
    </row>
    <row r="755" spans="1:16" x14ac:dyDescent="0.35">
      <c r="A755" s="7">
        <v>44219</v>
      </c>
      <c r="F755" s="8">
        <v>33.909999999999997</v>
      </c>
      <c r="H755" s="8">
        <v>34.07</v>
      </c>
      <c r="J755" s="8">
        <v>34.450000000000003</v>
      </c>
      <c r="L755" s="8">
        <v>34.83</v>
      </c>
    </row>
    <row r="756" spans="1:16" x14ac:dyDescent="0.35">
      <c r="A756" s="7">
        <v>44220</v>
      </c>
      <c r="F756" s="8">
        <v>33.909999999999997</v>
      </c>
      <c r="H756" s="8">
        <v>34.07</v>
      </c>
      <c r="J756" s="8">
        <v>34.450000000000003</v>
      </c>
      <c r="L756" s="8">
        <v>34.83</v>
      </c>
    </row>
    <row r="757" spans="1:16" x14ac:dyDescent="0.35">
      <c r="A757" s="7">
        <v>44221</v>
      </c>
      <c r="F757" s="8">
        <v>33.85</v>
      </c>
      <c r="H757" s="8">
        <v>34.1</v>
      </c>
      <c r="J757" s="8">
        <v>34.56</v>
      </c>
      <c r="L757" s="8">
        <v>34.21</v>
      </c>
    </row>
    <row r="758" spans="1:16" x14ac:dyDescent="0.35">
      <c r="A758" s="7">
        <v>44222</v>
      </c>
      <c r="F758" s="8">
        <v>33.200000000000003</v>
      </c>
      <c r="H758" s="8">
        <v>33.369999999999997</v>
      </c>
      <c r="J758" s="8">
        <v>33.76</v>
      </c>
      <c r="L758" s="8">
        <v>34.130000000000003</v>
      </c>
    </row>
    <row r="759" spans="1:16" x14ac:dyDescent="0.35">
      <c r="A759" s="7">
        <v>44223</v>
      </c>
      <c r="F759" s="8">
        <v>32.72</v>
      </c>
      <c r="H759" s="8">
        <v>32.9</v>
      </c>
      <c r="J759" s="8">
        <v>33.15</v>
      </c>
      <c r="L759" s="11">
        <v>34.32</v>
      </c>
    </row>
    <row r="760" spans="1:16" x14ac:dyDescent="0.35">
      <c r="A760" s="7">
        <v>44224</v>
      </c>
      <c r="F760" s="8">
        <v>33.520000000000003</v>
      </c>
      <c r="H760" s="8">
        <v>33.630000000000003</v>
      </c>
      <c r="J760" s="8">
        <v>34.29</v>
      </c>
      <c r="L760" s="8">
        <v>34.979999999999997</v>
      </c>
    </row>
    <row r="761" spans="1:16" x14ac:dyDescent="0.35">
      <c r="A761" s="7">
        <v>44225</v>
      </c>
      <c r="F761" s="8">
        <v>33.44</v>
      </c>
      <c r="H761" s="8">
        <v>33.6</v>
      </c>
      <c r="J761" s="8">
        <v>33.9</v>
      </c>
      <c r="L761" s="8">
        <v>34.380000000000003</v>
      </c>
    </row>
    <row r="762" spans="1:16" x14ac:dyDescent="0.35">
      <c r="A762" s="7">
        <v>44226</v>
      </c>
      <c r="F762" s="8">
        <v>33.44</v>
      </c>
      <c r="H762" s="8">
        <v>33.6</v>
      </c>
      <c r="J762" s="8">
        <v>33.9</v>
      </c>
      <c r="L762" s="8">
        <v>34.380000000000003</v>
      </c>
    </row>
    <row r="763" spans="1:16" x14ac:dyDescent="0.35">
      <c r="A763" s="7">
        <v>44227</v>
      </c>
      <c r="F763" s="8">
        <v>33.44</v>
      </c>
      <c r="H763" s="8">
        <v>33.6</v>
      </c>
      <c r="J763" s="8">
        <v>33.9</v>
      </c>
      <c r="L763" s="8">
        <v>34.380000000000003</v>
      </c>
    </row>
    <row r="764" spans="1:16" x14ac:dyDescent="0.35">
      <c r="A764" s="7">
        <v>44228</v>
      </c>
      <c r="F764" s="8">
        <v>32.92</v>
      </c>
      <c r="G764" s="14" t="e">
        <v>#VALUE!</v>
      </c>
      <c r="H764" s="8">
        <v>33.130000000000003</v>
      </c>
      <c r="I764" s="14" t="e">
        <v>#VALUE!</v>
      </c>
      <c r="J764" s="8">
        <v>33.47</v>
      </c>
      <c r="L764" s="11">
        <v>33.880000000000003</v>
      </c>
      <c r="N764" s="14" t="e">
        <v>#VALUE!</v>
      </c>
      <c r="O764" s="14" t="e">
        <v>#VALUE!</v>
      </c>
      <c r="P764" s="14" t="e">
        <v>#VALUE!</v>
      </c>
    </row>
    <row r="765" spans="1:16" x14ac:dyDescent="0.35">
      <c r="A765" s="7">
        <v>44229</v>
      </c>
      <c r="F765" s="8">
        <v>34.159999999999997</v>
      </c>
      <c r="G765" s="14" t="e">
        <v>#VALUE!</v>
      </c>
      <c r="H765" s="8">
        <v>34.74</v>
      </c>
      <c r="I765" s="14" t="e">
        <v>#VALUE!</v>
      </c>
      <c r="J765" s="8">
        <v>34.71</v>
      </c>
      <c r="L765" s="11">
        <v>35.99</v>
      </c>
      <c r="N765" s="14" t="e">
        <v>#VALUE!</v>
      </c>
      <c r="O765" s="14" t="e">
        <v>#VALUE!</v>
      </c>
      <c r="P765" s="14" t="e">
        <v>#VALUE!</v>
      </c>
    </row>
    <row r="766" spans="1:16" x14ac:dyDescent="0.35">
      <c r="A766" s="7">
        <v>44230</v>
      </c>
      <c r="F766" s="8">
        <v>36.57</v>
      </c>
      <c r="G766" s="14" t="e">
        <v>#VALUE!</v>
      </c>
      <c r="H766" s="8">
        <v>37.090000000000003</v>
      </c>
      <c r="I766" s="14" t="e">
        <v>#VALUE!</v>
      </c>
      <c r="J766" s="8">
        <v>36.880000000000003</v>
      </c>
      <c r="L766" s="8">
        <v>38.07</v>
      </c>
      <c r="N766" s="14" t="e">
        <v>#VALUE!</v>
      </c>
      <c r="O766" s="14" t="e">
        <v>#VALUE!</v>
      </c>
      <c r="P766" s="14" t="e">
        <v>#VALUE!</v>
      </c>
    </row>
    <row r="767" spans="1:16" x14ac:dyDescent="0.35">
      <c r="A767" s="7">
        <v>44231</v>
      </c>
      <c r="F767" s="8">
        <v>37.229999999999997</v>
      </c>
      <c r="G767" s="14" t="e">
        <v>#VALUE!</v>
      </c>
      <c r="H767" s="8">
        <v>37.369999999999997</v>
      </c>
      <c r="I767" s="14" t="e">
        <v>#VALUE!</v>
      </c>
      <c r="J767" s="8">
        <v>37.74</v>
      </c>
      <c r="L767" s="8">
        <v>37.94</v>
      </c>
      <c r="N767" s="14" t="e">
        <v>#VALUE!</v>
      </c>
      <c r="O767" s="14" t="e">
        <v>#VALUE!</v>
      </c>
      <c r="P767" s="14" t="e">
        <v>#VALUE!</v>
      </c>
    </row>
    <row r="768" spans="1:16" x14ac:dyDescent="0.35">
      <c r="A768" s="7">
        <v>44232</v>
      </c>
      <c r="F768" s="8">
        <v>38.1</v>
      </c>
      <c r="G768" s="14" t="e">
        <v>#VALUE!</v>
      </c>
      <c r="H768" s="8">
        <v>38.36</v>
      </c>
      <c r="I768" s="14" t="e">
        <v>#VALUE!</v>
      </c>
      <c r="J768" s="8">
        <v>38.78</v>
      </c>
      <c r="L768" s="8">
        <v>39.54</v>
      </c>
      <c r="N768" s="14" t="e">
        <v>#VALUE!</v>
      </c>
      <c r="O768" s="14" t="e">
        <v>#VALUE!</v>
      </c>
      <c r="P768" s="14" t="e">
        <v>#VALUE!</v>
      </c>
    </row>
    <row r="769" spans="1:16" x14ac:dyDescent="0.35">
      <c r="A769" s="7">
        <v>44233</v>
      </c>
      <c r="F769" s="8">
        <v>38.1</v>
      </c>
      <c r="G769" s="14" t="e">
        <v>#VALUE!</v>
      </c>
      <c r="H769" s="8">
        <v>38.36</v>
      </c>
      <c r="I769" s="14" t="e">
        <v>#VALUE!</v>
      </c>
      <c r="J769" s="8">
        <v>38.78</v>
      </c>
      <c r="L769" s="8">
        <v>39.54</v>
      </c>
      <c r="N769" s="14" t="e">
        <v>#VALUE!</v>
      </c>
      <c r="O769" s="14" t="e">
        <v>#VALUE!</v>
      </c>
      <c r="P769" s="14" t="e">
        <v>#VALUE!</v>
      </c>
    </row>
    <row r="770" spans="1:16" x14ac:dyDescent="0.35">
      <c r="A770" s="7">
        <v>44234</v>
      </c>
      <c r="F770" s="8">
        <v>38.1</v>
      </c>
      <c r="G770" s="14" t="e">
        <v>#VALUE!</v>
      </c>
      <c r="H770" s="8">
        <v>38.36</v>
      </c>
      <c r="I770" s="14" t="e">
        <v>#VALUE!</v>
      </c>
      <c r="J770" s="8">
        <v>38.78</v>
      </c>
      <c r="L770" s="8">
        <v>39.54</v>
      </c>
      <c r="N770" s="14" t="e">
        <v>#VALUE!</v>
      </c>
      <c r="O770" s="14" t="e">
        <v>#VALUE!</v>
      </c>
      <c r="P770" s="14" t="e">
        <v>#VALUE!</v>
      </c>
    </row>
    <row r="771" spans="1:16" x14ac:dyDescent="0.35">
      <c r="A771" s="7">
        <v>44235</v>
      </c>
      <c r="F771" s="8">
        <v>38.96</v>
      </c>
      <c r="G771" s="14" t="e">
        <v>#VALUE!</v>
      </c>
      <c r="H771" s="8">
        <v>39.130000000000003</v>
      </c>
      <c r="I771" s="14" t="e">
        <v>#VALUE!</v>
      </c>
      <c r="J771" s="8">
        <v>39.4</v>
      </c>
      <c r="L771" s="8">
        <v>40.01</v>
      </c>
      <c r="N771" s="14" t="e">
        <v>#VALUE!</v>
      </c>
      <c r="O771" s="14" t="e">
        <v>#VALUE!</v>
      </c>
      <c r="P771" s="14" t="e">
        <v>#VALUE!</v>
      </c>
    </row>
    <row r="772" spans="1:16" x14ac:dyDescent="0.35">
      <c r="A772" s="7">
        <v>44236</v>
      </c>
      <c r="F772" s="8">
        <v>38.020000000000003</v>
      </c>
      <c r="G772" s="14" t="e">
        <v>#VALUE!</v>
      </c>
      <c r="H772" s="8">
        <v>38.049999999999997</v>
      </c>
      <c r="I772" s="14" t="e">
        <v>#VALUE!</v>
      </c>
      <c r="J772" s="8">
        <v>38.549999999999997</v>
      </c>
      <c r="L772" s="8">
        <v>38.99</v>
      </c>
      <c r="N772" s="14" t="e">
        <v>#VALUE!</v>
      </c>
      <c r="O772" s="14" t="e">
        <v>#VALUE!</v>
      </c>
      <c r="P772" s="14" t="e">
        <v>#VALUE!</v>
      </c>
    </row>
    <row r="773" spans="1:16" x14ac:dyDescent="0.35">
      <c r="A773" s="7">
        <v>44237</v>
      </c>
      <c r="F773" s="8">
        <v>38.75</v>
      </c>
      <c r="G773" s="14" t="e">
        <v>#VALUE!</v>
      </c>
      <c r="H773" s="8">
        <v>38.869999999999997</v>
      </c>
      <c r="I773" s="14" t="e">
        <v>#VALUE!</v>
      </c>
      <c r="J773" s="8">
        <v>39.76</v>
      </c>
      <c r="L773" s="8">
        <v>40.409999999999997</v>
      </c>
      <c r="N773" s="14" t="e">
        <v>#VALUE!</v>
      </c>
      <c r="O773" s="14" t="e">
        <v>#VALUE!</v>
      </c>
      <c r="P773" s="14" t="e">
        <v>#VALUE!</v>
      </c>
    </row>
    <row r="774" spans="1:16" x14ac:dyDescent="0.35">
      <c r="A774" s="7">
        <v>44238</v>
      </c>
      <c r="F774" s="8">
        <v>39.380000000000003</v>
      </c>
      <c r="G774" s="14" t="e">
        <v>#VALUE!</v>
      </c>
      <c r="H774" s="8">
        <v>39.49</v>
      </c>
      <c r="I774" s="14" t="e">
        <v>#VALUE!</v>
      </c>
      <c r="J774" s="8">
        <v>39.5</v>
      </c>
      <c r="L774" s="8">
        <v>40.96</v>
      </c>
      <c r="N774" s="14" t="e">
        <v>#VALUE!</v>
      </c>
      <c r="O774" s="14" t="e">
        <v>#VALUE!</v>
      </c>
      <c r="P774" s="14" t="e">
        <v>#VALUE!</v>
      </c>
    </row>
    <row r="775" spans="1:16" x14ac:dyDescent="0.35">
      <c r="A775" s="7">
        <v>44239</v>
      </c>
      <c r="F775" s="8">
        <v>38.520000000000003</v>
      </c>
      <c r="G775" s="14" t="e">
        <v>#VALUE!</v>
      </c>
      <c r="H775" s="8">
        <v>38.44</v>
      </c>
      <c r="I775" s="14" t="e">
        <v>#VALUE!</v>
      </c>
      <c r="J775" s="8">
        <v>39.53</v>
      </c>
      <c r="L775" s="8">
        <v>39.83</v>
      </c>
      <c r="N775" s="14" t="e">
        <v>#VALUE!</v>
      </c>
      <c r="O775" s="14" t="e">
        <v>#VALUE!</v>
      </c>
      <c r="P775" s="14" t="e">
        <v>#VALUE!</v>
      </c>
    </row>
    <row r="776" spans="1:16" x14ac:dyDescent="0.35">
      <c r="A776" s="7">
        <v>44240</v>
      </c>
      <c r="F776" s="8">
        <v>38.520000000000003</v>
      </c>
      <c r="G776" s="14" t="e">
        <v>#VALUE!</v>
      </c>
      <c r="H776" s="8">
        <v>38.44</v>
      </c>
      <c r="I776" s="14" t="e">
        <v>#VALUE!</v>
      </c>
      <c r="J776" s="8">
        <v>39.53</v>
      </c>
      <c r="L776" s="8">
        <v>39.83</v>
      </c>
      <c r="N776" s="14" t="e">
        <v>#VALUE!</v>
      </c>
      <c r="O776" s="14" t="e">
        <v>#VALUE!</v>
      </c>
      <c r="P776" s="14" t="e">
        <v>#VALUE!</v>
      </c>
    </row>
    <row r="777" spans="1:16" x14ac:dyDescent="0.35">
      <c r="A777" s="7">
        <v>44241</v>
      </c>
      <c r="F777" s="8">
        <v>38.520000000000003</v>
      </c>
      <c r="G777" s="14" t="e">
        <v>#VALUE!</v>
      </c>
      <c r="H777" s="8">
        <v>38.44</v>
      </c>
      <c r="I777" s="14" t="e">
        <v>#VALUE!</v>
      </c>
      <c r="J777" s="8">
        <v>39.53</v>
      </c>
      <c r="L777" s="8">
        <v>39.83</v>
      </c>
      <c r="N777" s="14" t="e">
        <v>#VALUE!</v>
      </c>
      <c r="O777" s="14" t="e">
        <v>#VALUE!</v>
      </c>
      <c r="P777" s="14" t="e">
        <v>#VALUE!</v>
      </c>
    </row>
    <row r="778" spans="1:16" x14ac:dyDescent="0.35">
      <c r="A778" s="7">
        <v>44242</v>
      </c>
      <c r="F778" s="8">
        <v>39.93</v>
      </c>
      <c r="G778" s="14" t="e">
        <v>#VALUE!</v>
      </c>
      <c r="H778" s="8">
        <v>40.08</v>
      </c>
      <c r="I778" s="14" t="e">
        <v>#VALUE!</v>
      </c>
      <c r="J778" s="8">
        <v>40.49</v>
      </c>
      <c r="L778" s="8">
        <v>41.04</v>
      </c>
      <c r="N778" s="14" t="e">
        <v>#VALUE!</v>
      </c>
      <c r="O778" s="14" t="e">
        <v>#VALUE!</v>
      </c>
      <c r="P778" s="14" t="e">
        <v>#VALUE!</v>
      </c>
    </row>
    <row r="779" spans="1:16" x14ac:dyDescent="0.35">
      <c r="A779" s="7">
        <v>44243</v>
      </c>
      <c r="F779" s="8">
        <v>39.78</v>
      </c>
      <c r="G779" s="15" t="e">
        <v>#VALUE!</v>
      </c>
      <c r="H779" s="8">
        <v>39.96</v>
      </c>
      <c r="I779" s="14" t="e">
        <v>#VALUE!</v>
      </c>
      <c r="J779" s="8">
        <v>40.18</v>
      </c>
      <c r="L779" s="11">
        <v>40.15</v>
      </c>
      <c r="N779" s="14" t="e">
        <v>#VALUE!</v>
      </c>
      <c r="O779" s="14" t="e">
        <v>#VALUE!</v>
      </c>
      <c r="P779" s="14" t="e">
        <v>#VALUE!</v>
      </c>
    </row>
    <row r="780" spans="1:16" x14ac:dyDescent="0.35">
      <c r="A780" s="7">
        <v>44244</v>
      </c>
      <c r="F780" s="8">
        <v>38.6</v>
      </c>
      <c r="G780" s="15" t="e">
        <v>#VALUE!</v>
      </c>
      <c r="H780" s="8">
        <v>38.78</v>
      </c>
      <c r="I780" s="14"/>
      <c r="J780" s="8">
        <v>39.42</v>
      </c>
      <c r="L780" s="8">
        <v>39.950000000000003</v>
      </c>
      <c r="N780" s="14"/>
      <c r="O780" s="14"/>
      <c r="P780" s="14"/>
    </row>
    <row r="781" spans="1:16" x14ac:dyDescent="0.35">
      <c r="A781" s="7">
        <v>44245</v>
      </c>
      <c r="F781" s="8">
        <v>38.229999999999997</v>
      </c>
      <c r="G781" s="15" t="e">
        <v>#VALUE!</v>
      </c>
      <c r="H781" s="8">
        <v>38.57</v>
      </c>
      <c r="I781" s="14"/>
      <c r="J781" s="8">
        <v>38.880000000000003</v>
      </c>
      <c r="L781" s="8">
        <v>39.61</v>
      </c>
      <c r="N781" s="14"/>
      <c r="O781" s="14"/>
      <c r="P781" s="14"/>
    </row>
    <row r="782" spans="1:16" x14ac:dyDescent="0.35">
      <c r="A782" s="7">
        <v>44246</v>
      </c>
      <c r="F782" s="8">
        <v>38.08</v>
      </c>
      <c r="G782" s="15" t="e">
        <v>#VALUE!</v>
      </c>
      <c r="H782" s="8">
        <v>38.46</v>
      </c>
      <c r="I782" s="14"/>
      <c r="J782" s="8">
        <v>38.590000000000003</v>
      </c>
      <c r="L782" s="8">
        <v>39.68</v>
      </c>
    </row>
    <row r="783" spans="1:16" x14ac:dyDescent="0.35">
      <c r="A783" s="7">
        <v>44247</v>
      </c>
      <c r="F783" s="8">
        <v>38.08</v>
      </c>
      <c r="G783" s="15" t="e">
        <v>#VALUE!</v>
      </c>
      <c r="H783" s="8">
        <v>38.46</v>
      </c>
      <c r="I783" s="14"/>
      <c r="J783" s="8">
        <v>38.590000000000003</v>
      </c>
      <c r="L783" s="8">
        <v>39.68</v>
      </c>
    </row>
    <row r="784" spans="1:16" x14ac:dyDescent="0.35">
      <c r="A784" s="7">
        <v>44248</v>
      </c>
      <c r="F784" s="8">
        <v>38.08</v>
      </c>
      <c r="G784" s="15" t="e">
        <v>#VALUE!</v>
      </c>
      <c r="H784" s="8">
        <v>38.46</v>
      </c>
      <c r="J784" s="8">
        <v>38.590000000000003</v>
      </c>
      <c r="L784" s="8">
        <v>39.68</v>
      </c>
    </row>
    <row r="785" spans="1:12" x14ac:dyDescent="0.35">
      <c r="A785" s="7">
        <v>44249</v>
      </c>
      <c r="F785" s="8">
        <v>37.229999999999997</v>
      </c>
      <c r="G785" s="15" t="e">
        <v>#VALUE!</v>
      </c>
      <c r="H785" s="8">
        <v>37.47</v>
      </c>
      <c r="J785" s="8">
        <v>37.799999999999997</v>
      </c>
      <c r="L785" s="8">
        <v>38.299999999999997</v>
      </c>
    </row>
    <row r="786" spans="1:12" x14ac:dyDescent="0.35">
      <c r="A786" s="7">
        <v>44250</v>
      </c>
      <c r="F786" s="8">
        <v>37.97</v>
      </c>
      <c r="G786" s="15" t="e">
        <v>#VALUE!</v>
      </c>
      <c r="H786" s="8">
        <v>38.14</v>
      </c>
      <c r="J786" s="8">
        <v>38.64</v>
      </c>
      <c r="L786" s="8">
        <v>40.06</v>
      </c>
    </row>
    <row r="787" spans="1:12" x14ac:dyDescent="0.35">
      <c r="A787" s="7">
        <v>44251</v>
      </c>
      <c r="F787" s="8">
        <v>38.72</v>
      </c>
      <c r="G787" s="15" t="e">
        <v>#VALUE!</v>
      </c>
      <c r="H787" s="8">
        <v>38.950000000000003</v>
      </c>
      <c r="J787" s="8">
        <v>39.380000000000003</v>
      </c>
      <c r="L787" s="11">
        <v>40.549999999999997</v>
      </c>
    </row>
    <row r="788" spans="1:12" x14ac:dyDescent="0.35">
      <c r="A788" s="7">
        <v>44252</v>
      </c>
      <c r="F788" s="8">
        <v>38.880000000000003</v>
      </c>
      <c r="G788" s="15" t="e">
        <v>#VALUE!</v>
      </c>
      <c r="H788" s="8">
        <v>39.1</v>
      </c>
      <c r="J788" s="8">
        <v>39.450000000000003</v>
      </c>
      <c r="L788" s="11">
        <v>39.69</v>
      </c>
    </row>
    <row r="789" spans="1:12" x14ac:dyDescent="0.35">
      <c r="A789" s="7">
        <v>44253</v>
      </c>
      <c r="F789" s="8">
        <v>37.69</v>
      </c>
      <c r="G789" s="15" t="e">
        <v>#VALUE!</v>
      </c>
      <c r="H789" s="8">
        <v>38.11</v>
      </c>
      <c r="J789" s="8">
        <v>38.53</v>
      </c>
      <c r="L789" s="11">
        <v>38.71</v>
      </c>
    </row>
    <row r="790" spans="1:12" x14ac:dyDescent="0.35">
      <c r="A790" s="7">
        <v>44254</v>
      </c>
      <c r="F790" s="8">
        <v>37.69</v>
      </c>
      <c r="G790" s="15" t="e">
        <v>#VALUE!</v>
      </c>
      <c r="H790" s="8">
        <v>38.11</v>
      </c>
      <c r="J790" s="8">
        <v>38.53</v>
      </c>
      <c r="L790" s="11">
        <v>38.71</v>
      </c>
    </row>
    <row r="791" spans="1:12" x14ac:dyDescent="0.35">
      <c r="A791" s="7">
        <v>44255</v>
      </c>
      <c r="F791" s="8">
        <v>37.69</v>
      </c>
      <c r="G791" s="15" t="e">
        <v>#VALUE!</v>
      </c>
      <c r="H791" s="8">
        <v>38.11</v>
      </c>
      <c r="J791" s="8">
        <v>38.53</v>
      </c>
      <c r="L791" s="11">
        <v>38.71</v>
      </c>
    </row>
    <row r="792" spans="1:12" x14ac:dyDescent="0.35">
      <c r="A792" s="7">
        <v>44256</v>
      </c>
      <c r="F792" s="8">
        <v>37.6</v>
      </c>
      <c r="G792" s="15" t="e">
        <v>#VALUE!</v>
      </c>
      <c r="H792" s="8">
        <v>37.799999999999997</v>
      </c>
      <c r="J792" s="8">
        <v>38.44</v>
      </c>
      <c r="L792" s="11">
        <v>38.57</v>
      </c>
    </row>
    <row r="793" spans="1:12" x14ac:dyDescent="0.35">
      <c r="A793" s="7">
        <v>44257</v>
      </c>
      <c r="F793" s="8">
        <v>37.630000000000003</v>
      </c>
      <c r="G793" s="15" t="e">
        <v>#VALUE!</v>
      </c>
      <c r="H793" s="8">
        <v>37.79</v>
      </c>
      <c r="J793" s="8">
        <v>38.369999999999997</v>
      </c>
      <c r="L793" s="11">
        <v>39.81</v>
      </c>
    </row>
    <row r="794" spans="1:12" x14ac:dyDescent="0.35">
      <c r="A794" s="7">
        <v>44258</v>
      </c>
      <c r="F794" s="8">
        <v>37.630000000000003</v>
      </c>
      <c r="G794" s="15" t="e">
        <v>#VALUE!</v>
      </c>
      <c r="H794" s="8">
        <v>37.79</v>
      </c>
      <c r="J794" s="8">
        <v>38.46</v>
      </c>
      <c r="L794" s="11">
        <v>38.96</v>
      </c>
    </row>
    <row r="795" spans="1:12" x14ac:dyDescent="0.35">
      <c r="A795" s="7">
        <v>44259</v>
      </c>
      <c r="F795" s="8">
        <v>37.49</v>
      </c>
      <c r="G795" s="15" t="e">
        <v>#VALUE!</v>
      </c>
      <c r="H795" s="8">
        <v>37.700000000000003</v>
      </c>
      <c r="J795" s="8">
        <v>38.119999999999997</v>
      </c>
      <c r="L795" s="11">
        <v>39.64</v>
      </c>
    </row>
    <row r="796" spans="1:12" x14ac:dyDescent="0.35">
      <c r="A796" s="7">
        <v>44260</v>
      </c>
      <c r="F796" s="8">
        <v>38.42</v>
      </c>
      <c r="G796" s="15" t="e">
        <v>#VALUE!</v>
      </c>
      <c r="H796" s="8">
        <v>38.82</v>
      </c>
      <c r="J796" s="8">
        <v>39.090000000000003</v>
      </c>
      <c r="L796" s="8">
        <v>40.24</v>
      </c>
    </row>
    <row r="797" spans="1:12" x14ac:dyDescent="0.35">
      <c r="A797" s="7">
        <v>44261</v>
      </c>
      <c r="F797" s="8">
        <v>38.42</v>
      </c>
      <c r="G797" s="15" t="e">
        <v>#VALUE!</v>
      </c>
      <c r="H797" s="8">
        <v>38.82</v>
      </c>
      <c r="J797" s="8">
        <v>39.090000000000003</v>
      </c>
      <c r="L797" s="8">
        <v>40.24</v>
      </c>
    </row>
    <row r="798" spans="1:12" x14ac:dyDescent="0.35">
      <c r="A798" s="7">
        <v>44262</v>
      </c>
      <c r="F798" s="8">
        <v>38.42</v>
      </c>
      <c r="G798" s="15" t="e">
        <v>#VALUE!</v>
      </c>
      <c r="H798" s="8">
        <v>38.82</v>
      </c>
      <c r="J798" s="8">
        <v>39.090000000000003</v>
      </c>
      <c r="L798" s="8">
        <v>40.24</v>
      </c>
    </row>
    <row r="799" spans="1:12" x14ac:dyDescent="0.35">
      <c r="A799" s="7">
        <v>44263</v>
      </c>
      <c r="F799" s="8">
        <v>38.85</v>
      </c>
      <c r="G799" s="15" t="e">
        <v>#VALUE!</v>
      </c>
      <c r="H799" s="8">
        <v>39.06</v>
      </c>
      <c r="J799" s="8">
        <v>39.450000000000003</v>
      </c>
      <c r="L799" s="11">
        <v>40.6</v>
      </c>
    </row>
    <row r="800" spans="1:12" x14ac:dyDescent="0.35">
      <c r="A800" s="7">
        <v>44264</v>
      </c>
      <c r="F800" s="8">
        <v>39.97</v>
      </c>
      <c r="G800" s="15" t="e">
        <v>#VALUE!</v>
      </c>
      <c r="H800" s="8">
        <v>40.28</v>
      </c>
      <c r="J800" s="8">
        <v>40.770000000000003</v>
      </c>
      <c r="L800" s="11">
        <v>42.11</v>
      </c>
    </row>
    <row r="801" spans="1:12" x14ac:dyDescent="0.35">
      <c r="A801" s="7">
        <v>44265</v>
      </c>
      <c r="F801" s="8">
        <v>41.26</v>
      </c>
      <c r="G801" s="15" t="e">
        <v>#VALUE!</v>
      </c>
      <c r="H801" s="8">
        <v>41.6</v>
      </c>
      <c r="J801" s="8">
        <v>42.24</v>
      </c>
      <c r="L801" s="8">
        <v>42.77</v>
      </c>
    </row>
    <row r="802" spans="1:12" x14ac:dyDescent="0.35">
      <c r="A802" s="7">
        <v>44266</v>
      </c>
      <c r="F802" s="8">
        <v>41.92</v>
      </c>
      <c r="H802" s="8">
        <v>42.26</v>
      </c>
      <c r="J802" s="8">
        <v>42.87</v>
      </c>
      <c r="L802" s="8">
        <v>43.66</v>
      </c>
    </row>
    <row r="803" spans="1:12" x14ac:dyDescent="0.35">
      <c r="A803" s="7">
        <v>44267</v>
      </c>
      <c r="F803" s="8">
        <v>42.21</v>
      </c>
      <c r="H803" s="8">
        <v>42.31</v>
      </c>
      <c r="J803" s="8">
        <v>43.12</v>
      </c>
      <c r="L803" s="8">
        <v>43.25</v>
      </c>
    </row>
    <row r="804" spans="1:12" x14ac:dyDescent="0.35">
      <c r="A804" s="7">
        <v>44268</v>
      </c>
      <c r="F804" s="8">
        <v>42.21</v>
      </c>
      <c r="H804" s="8">
        <v>42.31</v>
      </c>
      <c r="J804" s="8">
        <v>43.12</v>
      </c>
      <c r="L804" s="8">
        <v>43.25</v>
      </c>
    </row>
    <row r="805" spans="1:12" x14ac:dyDescent="0.35">
      <c r="A805" s="7">
        <v>44269</v>
      </c>
      <c r="F805" s="8">
        <v>42.21</v>
      </c>
      <c r="H805" s="8">
        <v>42.31</v>
      </c>
      <c r="J805" s="8">
        <v>43.12</v>
      </c>
      <c r="L805" s="8">
        <v>43.25</v>
      </c>
    </row>
    <row r="806" spans="1:12" x14ac:dyDescent="0.35">
      <c r="A806" s="7">
        <v>44270</v>
      </c>
      <c r="F806" s="8">
        <v>42.7</v>
      </c>
      <c r="H806" s="8">
        <v>42.98</v>
      </c>
      <c r="J806" s="8">
        <v>43.65</v>
      </c>
      <c r="L806" s="11">
        <v>43.89</v>
      </c>
    </row>
    <row r="807" spans="1:12" x14ac:dyDescent="0.35">
      <c r="A807" s="7">
        <v>44271</v>
      </c>
      <c r="F807" s="8">
        <v>42.06</v>
      </c>
      <c r="H807" s="8">
        <v>42.47</v>
      </c>
      <c r="J807" s="8">
        <v>43.22</v>
      </c>
      <c r="L807" s="8">
        <v>43.3</v>
      </c>
    </row>
    <row r="808" spans="1:12" x14ac:dyDescent="0.35">
      <c r="A808" s="7">
        <v>44272</v>
      </c>
      <c r="F808" s="8">
        <v>42.26</v>
      </c>
      <c r="H808" s="8">
        <v>42.48</v>
      </c>
      <c r="J808" s="8">
        <v>43.54</v>
      </c>
      <c r="L808" s="11">
        <v>44.5</v>
      </c>
    </row>
    <row r="809" spans="1:12" x14ac:dyDescent="0.35">
      <c r="A809" s="7">
        <v>44273</v>
      </c>
      <c r="F809" s="8">
        <v>43.09</v>
      </c>
      <c r="H809" s="8">
        <v>43.38</v>
      </c>
      <c r="J809" s="8">
        <v>43.81</v>
      </c>
      <c r="L809" s="8">
        <v>45.19</v>
      </c>
    </row>
    <row r="810" spans="1:12" x14ac:dyDescent="0.35">
      <c r="A810" s="7">
        <v>44274</v>
      </c>
      <c r="F810" s="8">
        <v>41.83</v>
      </c>
      <c r="H810" s="8">
        <v>42.17</v>
      </c>
      <c r="J810" s="8">
        <v>42.53</v>
      </c>
      <c r="L810" s="11">
        <v>43.48</v>
      </c>
    </row>
    <row r="811" spans="1:12" x14ac:dyDescent="0.35">
      <c r="A811" s="7">
        <v>44275</v>
      </c>
      <c r="F811" s="8">
        <v>41.83</v>
      </c>
      <c r="H811" s="8">
        <v>42.17</v>
      </c>
      <c r="J811" s="8">
        <v>42.53</v>
      </c>
      <c r="L811" s="11">
        <v>43.48</v>
      </c>
    </row>
    <row r="812" spans="1:12" x14ac:dyDescent="0.35">
      <c r="A812" s="7">
        <v>44276</v>
      </c>
      <c r="F812" s="8">
        <v>41.83</v>
      </c>
      <c r="H812" s="8">
        <v>42.17</v>
      </c>
      <c r="J812" s="8">
        <v>42.53</v>
      </c>
      <c r="L812" s="11">
        <v>43.48</v>
      </c>
    </row>
    <row r="813" spans="1:12" x14ac:dyDescent="0.35">
      <c r="A813" s="7">
        <v>44277</v>
      </c>
      <c r="F813" s="8">
        <v>42.28</v>
      </c>
      <c r="H813" s="8">
        <v>42.65</v>
      </c>
      <c r="J813" s="8">
        <v>43.3</v>
      </c>
      <c r="L813" s="8">
        <v>43.46</v>
      </c>
    </row>
    <row r="814" spans="1:12" x14ac:dyDescent="0.35">
      <c r="A814" s="7">
        <v>44278</v>
      </c>
      <c r="F814" s="8">
        <v>41.83</v>
      </c>
      <c r="H814" s="8">
        <v>42.34</v>
      </c>
      <c r="J814" s="8">
        <v>42.55</v>
      </c>
      <c r="L814" s="8">
        <v>43.31</v>
      </c>
    </row>
    <row r="815" spans="1:12" x14ac:dyDescent="0.35">
      <c r="A815" s="7">
        <v>44279</v>
      </c>
      <c r="F815" s="8">
        <v>41.1</v>
      </c>
      <c r="H815" s="8">
        <v>41.37</v>
      </c>
      <c r="J815" s="8">
        <v>41.88</v>
      </c>
      <c r="L815" s="8">
        <v>42.46</v>
      </c>
    </row>
    <row r="816" spans="1:12" x14ac:dyDescent="0.35">
      <c r="A816" s="7">
        <v>44280</v>
      </c>
      <c r="F816" s="8">
        <v>40.46</v>
      </c>
      <c r="H816" s="8">
        <v>40.799999999999997</v>
      </c>
      <c r="J816" s="8">
        <v>41.15</v>
      </c>
      <c r="L816" s="8">
        <v>41.83</v>
      </c>
    </row>
    <row r="817" spans="1:12" x14ac:dyDescent="0.35">
      <c r="A817" s="7">
        <v>44281</v>
      </c>
      <c r="F817" s="8">
        <v>41.26</v>
      </c>
      <c r="H817" s="8">
        <v>41.44</v>
      </c>
      <c r="J817" s="8">
        <v>42.46</v>
      </c>
      <c r="L817" s="11">
        <f>AVERAGE(F817-F816,H817-H816,J817-J816)+L816</f>
        <v>42.746666666666663</v>
      </c>
    </row>
    <row r="818" spans="1:12" x14ac:dyDescent="0.35">
      <c r="A818" s="7">
        <v>44282</v>
      </c>
      <c r="F818" s="8">
        <v>41.26</v>
      </c>
      <c r="H818" s="8">
        <v>41.44</v>
      </c>
      <c r="J818" s="8">
        <v>42.46</v>
      </c>
      <c r="L818" s="11">
        <f>AVERAGE(F818-F817,H818-H817,J818-J817)+L817</f>
        <v>42.746666666666663</v>
      </c>
    </row>
    <row r="819" spans="1:12" x14ac:dyDescent="0.35">
      <c r="A819" s="7">
        <v>44283</v>
      </c>
      <c r="F819" s="8">
        <v>41.26</v>
      </c>
      <c r="H819" s="8">
        <v>41.44</v>
      </c>
      <c r="J819" s="8">
        <v>42.46</v>
      </c>
      <c r="L819" s="11">
        <f>AVERAGE(F819-F818,H819-H818,J819-J818)+L818</f>
        <v>42.746666666666663</v>
      </c>
    </row>
    <row r="820" spans="1:12" x14ac:dyDescent="0.35">
      <c r="A820" s="7">
        <v>44284</v>
      </c>
      <c r="F820" s="8">
        <v>41.57</v>
      </c>
      <c r="H820" s="8">
        <v>41.88</v>
      </c>
      <c r="J820" s="8">
        <v>42.95</v>
      </c>
      <c r="L820" s="11">
        <f>AVERAGE(F820-F819,H820-H819,J820-J819)+L819</f>
        <v>43.16</v>
      </c>
    </row>
    <row r="821" spans="1:12" x14ac:dyDescent="0.35">
      <c r="A821" s="7">
        <v>44285</v>
      </c>
      <c r="F821" s="8">
        <v>42.11</v>
      </c>
      <c r="H821" s="8">
        <v>42.46</v>
      </c>
      <c r="J821" s="8">
        <v>43.09</v>
      </c>
      <c r="L821" s="8">
        <v>43.76</v>
      </c>
    </row>
    <row r="822" spans="1:12" x14ac:dyDescent="0.35">
      <c r="A822" s="7">
        <v>44286</v>
      </c>
      <c r="F822" s="8">
        <v>42.41</v>
      </c>
      <c r="H822" s="8">
        <v>42.74</v>
      </c>
      <c r="J822" s="8">
        <v>43.23</v>
      </c>
      <c r="L822" s="8">
        <v>43.7</v>
      </c>
    </row>
    <row r="823" spans="1:12" x14ac:dyDescent="0.35">
      <c r="A823" s="7">
        <v>44287</v>
      </c>
      <c r="F823" s="8">
        <v>42.47</v>
      </c>
      <c r="H823" s="8">
        <v>42.87</v>
      </c>
      <c r="J823" s="8">
        <v>43.45</v>
      </c>
      <c r="L823" s="8">
        <v>44.28</v>
      </c>
    </row>
    <row r="824" spans="1:12" x14ac:dyDescent="0.35">
      <c r="A824" s="7">
        <v>44288</v>
      </c>
      <c r="F824" s="8">
        <v>42.47</v>
      </c>
      <c r="H824" s="8">
        <v>42.87</v>
      </c>
      <c r="J824" s="8">
        <v>43.45</v>
      </c>
      <c r="L824" s="8">
        <v>44.28</v>
      </c>
    </row>
    <row r="825" spans="1:12" x14ac:dyDescent="0.35">
      <c r="A825" s="7">
        <v>44289</v>
      </c>
      <c r="F825" s="8">
        <v>42.47</v>
      </c>
      <c r="H825" s="8">
        <v>42.87</v>
      </c>
      <c r="J825" s="8">
        <v>43.45</v>
      </c>
      <c r="L825" s="8">
        <v>44.28</v>
      </c>
    </row>
    <row r="826" spans="1:12" x14ac:dyDescent="0.35">
      <c r="A826" s="7">
        <v>44290</v>
      </c>
      <c r="F826" s="8">
        <v>42.47</v>
      </c>
      <c r="H826" s="8">
        <v>42.87</v>
      </c>
      <c r="J826" s="8">
        <v>43.45</v>
      </c>
      <c r="L826" s="8">
        <v>44.28</v>
      </c>
    </row>
    <row r="827" spans="1:12" x14ac:dyDescent="0.35">
      <c r="A827" s="7">
        <v>44291</v>
      </c>
      <c r="F827" s="8">
        <v>42.47</v>
      </c>
      <c r="H827" s="8">
        <v>42.87</v>
      </c>
      <c r="J827" s="8">
        <v>43.45</v>
      </c>
      <c r="L827" s="8">
        <v>44.28</v>
      </c>
    </row>
    <row r="828" spans="1:12" x14ac:dyDescent="0.35">
      <c r="A828" s="7">
        <v>44292</v>
      </c>
      <c r="F828" s="8">
        <v>43.58</v>
      </c>
      <c r="H828" s="8">
        <v>43.82</v>
      </c>
      <c r="J828" s="8">
        <v>44.48</v>
      </c>
      <c r="L828" s="8">
        <v>44.52</v>
      </c>
    </row>
    <row r="829" spans="1:12" x14ac:dyDescent="0.35">
      <c r="A829" s="7">
        <v>44293</v>
      </c>
      <c r="F829" s="8">
        <v>43.86</v>
      </c>
      <c r="H829" s="8">
        <v>44.2</v>
      </c>
      <c r="J829" s="8">
        <v>44.79</v>
      </c>
      <c r="L829" s="8">
        <v>45.48</v>
      </c>
    </row>
    <row r="830" spans="1:12" x14ac:dyDescent="0.35">
      <c r="A830" s="7">
        <v>44294</v>
      </c>
      <c r="F830" s="8">
        <v>43.61</v>
      </c>
      <c r="H830" s="8">
        <v>44.02</v>
      </c>
      <c r="J830" s="8">
        <v>44.52</v>
      </c>
      <c r="L830" s="8">
        <v>45.24</v>
      </c>
    </row>
    <row r="831" spans="1:12" x14ac:dyDescent="0.35">
      <c r="A831" s="7">
        <v>44295</v>
      </c>
      <c r="F831" s="8">
        <v>43.47</v>
      </c>
      <c r="H831" s="8">
        <v>43.88</v>
      </c>
      <c r="J831" s="8">
        <v>44.39</v>
      </c>
      <c r="L831" s="8">
        <v>45.12</v>
      </c>
    </row>
    <row r="832" spans="1:12" x14ac:dyDescent="0.35">
      <c r="A832" s="7">
        <v>44296</v>
      </c>
      <c r="F832" s="8">
        <v>43.47</v>
      </c>
      <c r="H832" s="8">
        <v>43.88</v>
      </c>
      <c r="J832" s="8">
        <v>44.39</v>
      </c>
      <c r="L832" s="8">
        <v>45.12</v>
      </c>
    </row>
    <row r="833" spans="1:12" x14ac:dyDescent="0.35">
      <c r="A833" s="7">
        <v>44297</v>
      </c>
      <c r="F833" s="8">
        <v>43.47</v>
      </c>
      <c r="H833" s="8">
        <v>43.88</v>
      </c>
      <c r="J833" s="8">
        <v>44.39</v>
      </c>
      <c r="L833" s="8">
        <v>45.12</v>
      </c>
    </row>
    <row r="834" spans="1:12" x14ac:dyDescent="0.35">
      <c r="A834" s="7">
        <v>44298</v>
      </c>
      <c r="F834" s="8">
        <v>44.2</v>
      </c>
      <c r="H834" s="8">
        <v>44.48</v>
      </c>
      <c r="J834" s="8">
        <v>45.26</v>
      </c>
      <c r="L834" s="11">
        <v>46.11</v>
      </c>
    </row>
    <row r="835" spans="1:12" x14ac:dyDescent="0.35">
      <c r="A835" s="7">
        <v>44299</v>
      </c>
      <c r="F835" s="8">
        <v>44.21</v>
      </c>
      <c r="H835" s="8">
        <v>44.57</v>
      </c>
      <c r="J835" s="8">
        <v>45.16</v>
      </c>
      <c r="L835" s="11">
        <v>45.51</v>
      </c>
    </row>
    <row r="836" spans="1:12" x14ac:dyDescent="0.35">
      <c r="A836" s="7">
        <v>44300</v>
      </c>
      <c r="F836" s="8">
        <v>43.86</v>
      </c>
      <c r="H836" s="8">
        <v>44.25</v>
      </c>
      <c r="J836" s="8">
        <v>44.79</v>
      </c>
      <c r="L836" s="11">
        <v>45.48</v>
      </c>
    </row>
    <row r="837" spans="1:12" x14ac:dyDescent="0.35">
      <c r="A837" s="7">
        <v>44301</v>
      </c>
      <c r="F837" s="8">
        <v>44.21</v>
      </c>
      <c r="H837" s="8">
        <v>44.58</v>
      </c>
      <c r="J837" s="8">
        <v>45.17</v>
      </c>
      <c r="L837" s="8">
        <v>45.75</v>
      </c>
    </row>
    <row r="838" spans="1:12" x14ac:dyDescent="0.35">
      <c r="A838" s="7">
        <v>44302</v>
      </c>
      <c r="F838" s="8">
        <v>44.59</v>
      </c>
      <c r="H838" s="8">
        <v>45.01</v>
      </c>
      <c r="J838" s="8">
        <v>45.55</v>
      </c>
      <c r="L838" s="8">
        <v>46.38</v>
      </c>
    </row>
    <row r="839" spans="1:12" x14ac:dyDescent="0.35">
      <c r="A839" s="7">
        <v>44303</v>
      </c>
      <c r="F839" s="8">
        <v>44.59</v>
      </c>
      <c r="H839" s="8">
        <v>45.01</v>
      </c>
      <c r="J839" s="8">
        <v>45.55</v>
      </c>
      <c r="L839" s="8">
        <v>46.38</v>
      </c>
    </row>
    <row r="840" spans="1:12" x14ac:dyDescent="0.35">
      <c r="A840" s="7">
        <v>44304</v>
      </c>
      <c r="F840" s="8">
        <v>44.59</v>
      </c>
      <c r="H840" s="8">
        <v>45.01</v>
      </c>
      <c r="J840" s="8">
        <v>45.55</v>
      </c>
      <c r="L840" s="8">
        <v>46.38</v>
      </c>
    </row>
    <row r="841" spans="1:12" x14ac:dyDescent="0.35">
      <c r="A841" s="7">
        <v>44305</v>
      </c>
      <c r="F841" s="8">
        <v>44.53</v>
      </c>
      <c r="H841" s="8">
        <v>44.93</v>
      </c>
      <c r="J841" s="8">
        <v>45.57</v>
      </c>
      <c r="L841" s="8">
        <v>46.05</v>
      </c>
    </row>
    <row r="842" spans="1:12" x14ac:dyDescent="0.35">
      <c r="A842" s="7">
        <v>44306</v>
      </c>
      <c r="F842" s="8">
        <v>44.55</v>
      </c>
      <c r="H842" s="8">
        <v>44.95</v>
      </c>
      <c r="J842" s="8">
        <v>45.52</v>
      </c>
      <c r="L842" s="8">
        <v>46.41</v>
      </c>
    </row>
    <row r="843" spans="1:12" x14ac:dyDescent="0.35">
      <c r="A843" s="7">
        <v>44307</v>
      </c>
      <c r="F843" s="8">
        <v>45.58</v>
      </c>
      <c r="H843" s="8">
        <v>45.9</v>
      </c>
      <c r="J843" s="8">
        <v>46.71</v>
      </c>
      <c r="L843" s="8">
        <v>47.68</v>
      </c>
    </row>
    <row r="844" spans="1:12" x14ac:dyDescent="0.35">
      <c r="A844" s="7">
        <v>44308</v>
      </c>
      <c r="F844" s="8">
        <v>46.83</v>
      </c>
      <c r="H844" s="8">
        <v>47.27</v>
      </c>
      <c r="J844" s="8">
        <v>47.88</v>
      </c>
      <c r="L844" s="8">
        <v>48.64</v>
      </c>
    </row>
    <row r="845" spans="1:12" x14ac:dyDescent="0.35">
      <c r="A845" s="7">
        <v>44309</v>
      </c>
      <c r="F845" s="8">
        <v>46.64</v>
      </c>
      <c r="H845" s="8">
        <v>47.05</v>
      </c>
      <c r="J845" s="8">
        <v>47.56</v>
      </c>
      <c r="L845" s="8">
        <v>48.36</v>
      </c>
    </row>
    <row r="846" spans="1:12" x14ac:dyDescent="0.35">
      <c r="A846" s="7">
        <v>44310</v>
      </c>
      <c r="F846" s="8">
        <v>46.64</v>
      </c>
      <c r="H846" s="8">
        <v>47.05</v>
      </c>
      <c r="J846" s="8">
        <v>47.56</v>
      </c>
      <c r="L846" s="8">
        <v>48.36</v>
      </c>
    </row>
    <row r="847" spans="1:12" x14ac:dyDescent="0.35">
      <c r="A847" s="7">
        <v>44311</v>
      </c>
      <c r="F847" s="8">
        <v>46.64</v>
      </c>
      <c r="H847" s="8">
        <v>47.05</v>
      </c>
      <c r="J847" s="8">
        <v>47.56</v>
      </c>
      <c r="L847" s="8">
        <v>48.36</v>
      </c>
    </row>
    <row r="848" spans="1:12" x14ac:dyDescent="0.35">
      <c r="A848" s="7">
        <v>44312</v>
      </c>
      <c r="F848" s="8">
        <v>47.37</v>
      </c>
      <c r="H848" s="8">
        <v>47.88</v>
      </c>
      <c r="J848" s="8">
        <v>48.43</v>
      </c>
      <c r="L848" s="8">
        <v>49.37</v>
      </c>
    </row>
    <row r="849" spans="1:12" x14ac:dyDescent="0.35">
      <c r="A849" s="7">
        <v>44313</v>
      </c>
      <c r="F849" s="8">
        <v>47.09</v>
      </c>
      <c r="H849" s="8">
        <v>47.63</v>
      </c>
      <c r="J849" s="8">
        <v>48.33</v>
      </c>
      <c r="L849" s="8">
        <v>49.15</v>
      </c>
    </row>
    <row r="850" spans="1:12" x14ac:dyDescent="0.35">
      <c r="A850" s="7">
        <v>44314</v>
      </c>
      <c r="F850" s="8">
        <v>47.94</v>
      </c>
      <c r="H850" s="8">
        <v>48.46</v>
      </c>
      <c r="J850" s="8">
        <v>49.09</v>
      </c>
      <c r="L850" s="8">
        <v>50.14</v>
      </c>
    </row>
    <row r="851" spans="1:12" x14ac:dyDescent="0.35">
      <c r="A851" s="7">
        <v>44315</v>
      </c>
      <c r="F851" s="8">
        <v>47.69</v>
      </c>
      <c r="H851" s="8">
        <v>48.17</v>
      </c>
      <c r="J851" s="8">
        <v>48.99</v>
      </c>
      <c r="L851" s="8">
        <v>49.91</v>
      </c>
    </row>
    <row r="852" spans="1:12" x14ac:dyDescent="0.35">
      <c r="A852" s="7">
        <v>44316</v>
      </c>
      <c r="F852" s="8">
        <v>49.54</v>
      </c>
      <c r="H852" s="8">
        <v>50.01</v>
      </c>
      <c r="J852" s="8">
        <v>49.91</v>
      </c>
      <c r="L852" s="8">
        <v>51.7</v>
      </c>
    </row>
    <row r="853" spans="1:12" x14ac:dyDescent="0.35">
      <c r="A853" s="7">
        <v>44317</v>
      </c>
      <c r="F853" s="8">
        <v>49.54</v>
      </c>
      <c r="H853" s="8">
        <v>50.01</v>
      </c>
      <c r="J853" s="8">
        <v>49.91</v>
      </c>
      <c r="L853" s="8">
        <v>51.7</v>
      </c>
    </row>
    <row r="854" spans="1:12" x14ac:dyDescent="0.35">
      <c r="A854" s="7">
        <v>44318</v>
      </c>
      <c r="F854" s="8">
        <v>49.54</v>
      </c>
      <c r="H854" s="8">
        <v>50.01</v>
      </c>
      <c r="J854" s="8">
        <v>49.91</v>
      </c>
      <c r="L854" s="8">
        <v>51.7</v>
      </c>
    </row>
    <row r="855" spans="1:12" x14ac:dyDescent="0.35">
      <c r="A855" s="7">
        <v>44319</v>
      </c>
      <c r="F855" s="8">
        <v>49.54</v>
      </c>
      <c r="H855" s="8">
        <v>50.01</v>
      </c>
      <c r="J855" s="8">
        <v>50.76</v>
      </c>
      <c r="L855" s="8">
        <v>51.7</v>
      </c>
    </row>
    <row r="856" spans="1:12" x14ac:dyDescent="0.35">
      <c r="A856" s="7">
        <v>44320</v>
      </c>
      <c r="F856" s="8">
        <v>49.17</v>
      </c>
      <c r="H856" s="8">
        <v>49.57</v>
      </c>
      <c r="J856" s="8">
        <v>50.45</v>
      </c>
      <c r="L856" s="8">
        <v>51.03</v>
      </c>
    </row>
    <row r="857" spans="1:12" x14ac:dyDescent="0.35">
      <c r="A857" s="7">
        <v>44321</v>
      </c>
      <c r="F857" s="8">
        <v>49.06</v>
      </c>
      <c r="H857" s="8">
        <v>49.5</v>
      </c>
      <c r="J857" s="8">
        <v>50.33</v>
      </c>
      <c r="L857" s="8">
        <v>51.47</v>
      </c>
    </row>
    <row r="858" spans="1:12" x14ac:dyDescent="0.35">
      <c r="A858" s="7">
        <v>44322</v>
      </c>
      <c r="F858" s="8">
        <v>49.87</v>
      </c>
      <c r="H858" s="8">
        <v>50.33</v>
      </c>
      <c r="J858" s="8">
        <v>51.21</v>
      </c>
      <c r="L858" s="8">
        <v>52.33</v>
      </c>
    </row>
    <row r="859" spans="1:12" x14ac:dyDescent="0.35">
      <c r="A859" s="7">
        <v>44323</v>
      </c>
      <c r="F859" s="8">
        <v>50.11</v>
      </c>
      <c r="H859" s="8">
        <v>50.33</v>
      </c>
      <c r="J859" s="8">
        <v>51.24</v>
      </c>
      <c r="L859" s="11">
        <f>AVERAGE(F859-F858,H859-H858,J859-J858)+L858</f>
        <v>52.42</v>
      </c>
    </row>
    <row r="860" spans="1:12" x14ac:dyDescent="0.35">
      <c r="A860" s="7">
        <v>44324</v>
      </c>
      <c r="F860" s="8">
        <v>50.11</v>
      </c>
      <c r="H860" s="8">
        <v>50.33</v>
      </c>
      <c r="J860" s="8">
        <v>51.24</v>
      </c>
      <c r="L860" s="11">
        <f>AVERAGE(F860-F859,H860-H859,J860-J859)+L859</f>
        <v>52.42</v>
      </c>
    </row>
    <row r="861" spans="1:12" x14ac:dyDescent="0.35">
      <c r="A861" s="7">
        <v>44325</v>
      </c>
      <c r="F861" s="8">
        <v>50.11</v>
      </c>
      <c r="H861" s="8">
        <v>50.33</v>
      </c>
      <c r="J861" s="8">
        <v>51.24</v>
      </c>
      <c r="L861" s="11">
        <f>AVERAGE(F861-F860,H861-H860,J861-J860)+L860</f>
        <v>52.42</v>
      </c>
    </row>
    <row r="862" spans="1:12" x14ac:dyDescent="0.35">
      <c r="A862" s="7">
        <v>44326</v>
      </c>
      <c r="F862" s="8">
        <v>52.02</v>
      </c>
      <c r="H862" s="8">
        <v>52.53</v>
      </c>
      <c r="J862" s="8">
        <v>53.27</v>
      </c>
      <c r="L862" s="8">
        <v>54.2</v>
      </c>
    </row>
    <row r="863" spans="1:12" x14ac:dyDescent="0.35">
      <c r="A863" s="7">
        <v>44327</v>
      </c>
      <c r="F863" s="8">
        <v>52.41</v>
      </c>
      <c r="H863" s="8">
        <v>52.51</v>
      </c>
      <c r="J863" s="8">
        <v>53.66</v>
      </c>
      <c r="L863" s="8">
        <v>54.59</v>
      </c>
    </row>
    <row r="864" spans="1:12" x14ac:dyDescent="0.35">
      <c r="A864" s="7">
        <v>44328</v>
      </c>
      <c r="F864" s="8">
        <v>54.42</v>
      </c>
      <c r="H864" s="8">
        <v>54.89</v>
      </c>
      <c r="J864" s="8">
        <v>56.05</v>
      </c>
      <c r="L864" s="8">
        <v>57.38</v>
      </c>
    </row>
    <row r="865" spans="1:12" x14ac:dyDescent="0.35">
      <c r="A865" s="7">
        <v>44329</v>
      </c>
      <c r="F865" s="11">
        <v>55.83</v>
      </c>
      <c r="H865" s="11">
        <v>56.34</v>
      </c>
      <c r="J865" s="8">
        <v>55.25</v>
      </c>
      <c r="L865" s="11">
        <v>58.11</v>
      </c>
    </row>
    <row r="866" spans="1:12" x14ac:dyDescent="0.35">
      <c r="A866" s="7">
        <v>44330</v>
      </c>
      <c r="F866" s="8">
        <v>55.83</v>
      </c>
      <c r="H866" s="8">
        <v>56.34</v>
      </c>
      <c r="J866" s="8">
        <v>57.21</v>
      </c>
      <c r="L866" s="8">
        <v>58.11</v>
      </c>
    </row>
    <row r="867" spans="1:12" x14ac:dyDescent="0.35">
      <c r="A867" s="7">
        <v>44331</v>
      </c>
      <c r="F867" s="8">
        <v>55.83</v>
      </c>
      <c r="H867" s="8">
        <v>56.34</v>
      </c>
      <c r="J867" s="8">
        <v>57.21</v>
      </c>
      <c r="L867" s="8">
        <v>58.11</v>
      </c>
    </row>
    <row r="868" spans="1:12" x14ac:dyDescent="0.35">
      <c r="A868" s="7">
        <v>44332</v>
      </c>
      <c r="F868" s="8">
        <v>55.83</v>
      </c>
      <c r="H868" s="8">
        <v>56.34</v>
      </c>
      <c r="J868" s="8">
        <v>57.21</v>
      </c>
      <c r="L868" s="8">
        <v>58.11</v>
      </c>
    </row>
    <row r="869" spans="1:12" x14ac:dyDescent="0.35">
      <c r="A869" s="7">
        <v>44333</v>
      </c>
      <c r="F869" s="8">
        <v>56.07</v>
      </c>
      <c r="H869" s="8">
        <v>56.59</v>
      </c>
      <c r="J869" s="8">
        <v>57.46</v>
      </c>
      <c r="L869" s="8">
        <v>58.26</v>
      </c>
    </row>
    <row r="870" spans="1:12" x14ac:dyDescent="0.35">
      <c r="A870" s="7">
        <v>44334</v>
      </c>
      <c r="F870" s="8">
        <v>54.34</v>
      </c>
      <c r="H870" s="8">
        <v>54.6</v>
      </c>
      <c r="J870" s="8">
        <v>55.32</v>
      </c>
      <c r="L870" s="8">
        <v>56.64</v>
      </c>
    </row>
    <row r="871" spans="1:12" x14ac:dyDescent="0.35">
      <c r="A871" s="7">
        <v>44335</v>
      </c>
      <c r="F871" s="8">
        <v>50.6</v>
      </c>
      <c r="H871" s="8">
        <v>50.98</v>
      </c>
      <c r="J871" s="8">
        <v>51.98</v>
      </c>
      <c r="L871" s="8">
        <v>53.48</v>
      </c>
    </row>
    <row r="872" spans="1:12" x14ac:dyDescent="0.35">
      <c r="A872" s="7">
        <v>44336</v>
      </c>
      <c r="F872" s="8">
        <v>51.42</v>
      </c>
      <c r="H872" s="8">
        <v>51.81</v>
      </c>
      <c r="J872" s="8">
        <v>53.16</v>
      </c>
      <c r="L872" s="8">
        <v>54.01</v>
      </c>
    </row>
    <row r="873" spans="1:12" x14ac:dyDescent="0.35">
      <c r="A873" s="7">
        <v>44337</v>
      </c>
      <c r="F873" s="8">
        <v>52.51</v>
      </c>
      <c r="H873" s="8">
        <v>53.32</v>
      </c>
      <c r="J873" s="8">
        <v>54.49</v>
      </c>
      <c r="L873" s="8">
        <v>55.75</v>
      </c>
    </row>
    <row r="874" spans="1:12" x14ac:dyDescent="0.35">
      <c r="A874" s="7">
        <v>44338</v>
      </c>
      <c r="F874" s="8">
        <v>52.51</v>
      </c>
      <c r="H874" s="8">
        <v>53.32</v>
      </c>
      <c r="J874" s="8">
        <v>54.49</v>
      </c>
      <c r="L874" s="8">
        <v>55.75</v>
      </c>
    </row>
    <row r="875" spans="1:12" x14ac:dyDescent="0.35">
      <c r="A875" s="7">
        <v>44339</v>
      </c>
      <c r="F875" s="8">
        <v>52.51</v>
      </c>
      <c r="H875" s="8">
        <v>53.32</v>
      </c>
      <c r="J875" s="8">
        <v>54.49</v>
      </c>
      <c r="L875" s="8">
        <v>55.75</v>
      </c>
    </row>
    <row r="876" spans="1:12" x14ac:dyDescent="0.35">
      <c r="A876" s="7">
        <v>44340</v>
      </c>
      <c r="F876" s="8">
        <v>52.16</v>
      </c>
      <c r="H876" s="8">
        <v>52.73</v>
      </c>
      <c r="J876" s="8">
        <v>53.54</v>
      </c>
      <c r="L876" s="8">
        <v>55.07</v>
      </c>
    </row>
    <row r="877" spans="1:12" x14ac:dyDescent="0.35">
      <c r="A877" s="7">
        <v>44341</v>
      </c>
      <c r="F877" s="8">
        <v>53.07</v>
      </c>
      <c r="H877" s="8">
        <v>53.54</v>
      </c>
      <c r="J877" s="8">
        <v>54.44</v>
      </c>
      <c r="L877" s="8">
        <v>55.63</v>
      </c>
    </row>
    <row r="878" spans="1:12" x14ac:dyDescent="0.35">
      <c r="A878" s="7">
        <v>44342</v>
      </c>
      <c r="F878" s="8">
        <v>53.97</v>
      </c>
      <c r="H878" s="8">
        <v>54.63</v>
      </c>
      <c r="J878" s="8">
        <v>55.53</v>
      </c>
      <c r="L878" s="8">
        <v>56.49</v>
      </c>
    </row>
    <row r="879" spans="1:12" x14ac:dyDescent="0.35">
      <c r="A879" s="7">
        <v>44343</v>
      </c>
      <c r="F879" s="8">
        <v>52.4</v>
      </c>
      <c r="H879" s="8">
        <v>53.16</v>
      </c>
      <c r="J879" s="8">
        <v>54.03</v>
      </c>
      <c r="L879" s="8">
        <v>55.17</v>
      </c>
    </row>
    <row r="880" spans="1:12" x14ac:dyDescent="0.35">
      <c r="A880" s="7">
        <v>44344</v>
      </c>
      <c r="F880" s="8">
        <v>51.43</v>
      </c>
      <c r="H880" s="8">
        <v>52.06</v>
      </c>
      <c r="J880" s="8">
        <v>53.07</v>
      </c>
      <c r="L880" s="8">
        <v>54.15</v>
      </c>
    </row>
    <row r="881" spans="1:12" x14ac:dyDescent="0.35">
      <c r="A881" s="7">
        <v>44345</v>
      </c>
      <c r="F881" s="8">
        <v>51.43</v>
      </c>
      <c r="H881" s="8">
        <v>52.06</v>
      </c>
      <c r="J881" s="8">
        <v>53.07</v>
      </c>
      <c r="L881" s="8">
        <v>54.15</v>
      </c>
    </row>
    <row r="882" spans="1:12" x14ac:dyDescent="0.35">
      <c r="A882" s="7">
        <v>44346</v>
      </c>
      <c r="F882" s="8">
        <v>51.43</v>
      </c>
      <c r="H882" s="8">
        <v>52.06</v>
      </c>
      <c r="J882" s="8">
        <v>53.07</v>
      </c>
      <c r="L882" s="8">
        <v>54.15</v>
      </c>
    </row>
    <row r="883" spans="1:12" x14ac:dyDescent="0.35">
      <c r="A883" s="7">
        <v>44347</v>
      </c>
      <c r="F883" s="8">
        <v>51.63</v>
      </c>
      <c r="H883" s="8">
        <v>52.2</v>
      </c>
      <c r="J883" s="8">
        <v>54.19</v>
      </c>
      <c r="L883" s="8">
        <v>54.16</v>
      </c>
    </row>
    <row r="884" spans="1:12" x14ac:dyDescent="0.35">
      <c r="A884" s="7">
        <v>44348</v>
      </c>
      <c r="F884" s="8">
        <v>52.72</v>
      </c>
      <c r="H884" s="8">
        <v>53.28</v>
      </c>
      <c r="J884" s="8">
        <v>54.1</v>
      </c>
      <c r="L884" s="8">
        <v>54.98</v>
      </c>
    </row>
    <row r="885" spans="1:12" x14ac:dyDescent="0.35">
      <c r="A885" s="7">
        <v>44349</v>
      </c>
      <c r="F885" s="8">
        <v>51.08</v>
      </c>
      <c r="H885" s="8">
        <v>51.46</v>
      </c>
      <c r="J885" s="8">
        <v>52.91</v>
      </c>
      <c r="L885" s="8">
        <v>53.11</v>
      </c>
    </row>
    <row r="886" spans="1:12" x14ac:dyDescent="0.35">
      <c r="A886" s="7">
        <v>44350</v>
      </c>
      <c r="F886" s="11">
        <v>51.08</v>
      </c>
      <c r="H886" s="11">
        <v>51.46</v>
      </c>
      <c r="J886" s="8">
        <v>52.41</v>
      </c>
      <c r="L886" s="11">
        <v>53.11</v>
      </c>
    </row>
    <row r="887" spans="1:12" x14ac:dyDescent="0.35">
      <c r="A887" s="7">
        <v>44351</v>
      </c>
      <c r="F887" s="8">
        <v>50.16</v>
      </c>
      <c r="H887" s="8">
        <v>50.44</v>
      </c>
      <c r="J887" s="8">
        <v>51.11</v>
      </c>
      <c r="L887" s="8">
        <v>52.88</v>
      </c>
    </row>
    <row r="888" spans="1:12" x14ac:dyDescent="0.35">
      <c r="A888" s="7">
        <v>44352</v>
      </c>
      <c r="F888" s="8">
        <v>50.16</v>
      </c>
      <c r="H888" s="8">
        <v>50.44</v>
      </c>
      <c r="J888" s="8">
        <v>51.11</v>
      </c>
      <c r="L888" s="8">
        <v>52.88</v>
      </c>
    </row>
    <row r="889" spans="1:12" x14ac:dyDescent="0.35">
      <c r="A889" s="7">
        <v>44353</v>
      </c>
      <c r="F889" s="8">
        <v>50.16</v>
      </c>
      <c r="H889" s="8">
        <v>50.44</v>
      </c>
      <c r="J889" s="8">
        <v>51.11</v>
      </c>
      <c r="L889" s="8">
        <v>52.88</v>
      </c>
    </row>
    <row r="890" spans="1:12" x14ac:dyDescent="0.35">
      <c r="A890" s="7">
        <v>44354</v>
      </c>
      <c r="F890" s="8">
        <v>51.05</v>
      </c>
      <c r="H890" s="8">
        <v>51.68</v>
      </c>
      <c r="J890" s="8">
        <v>51.96</v>
      </c>
      <c r="L890" s="11">
        <v>53.63</v>
      </c>
    </row>
    <row r="891" spans="1:12" x14ac:dyDescent="0.35">
      <c r="A891" s="7">
        <v>44355</v>
      </c>
      <c r="F891" s="8">
        <v>52.24</v>
      </c>
      <c r="H891" s="8">
        <v>52.76</v>
      </c>
      <c r="J891" s="8">
        <v>53.49</v>
      </c>
      <c r="L891" s="8">
        <v>54.51</v>
      </c>
    </row>
    <row r="892" spans="1:12" x14ac:dyDescent="0.35">
      <c r="A892" s="7">
        <v>44356</v>
      </c>
      <c r="F892" s="8">
        <v>53.45</v>
      </c>
      <c r="H892" s="8">
        <v>53.87</v>
      </c>
      <c r="J892" s="8">
        <v>54.61</v>
      </c>
      <c r="L892" s="8">
        <v>55.74</v>
      </c>
    </row>
    <row r="893" spans="1:12" x14ac:dyDescent="0.35">
      <c r="A893" s="7">
        <v>44357</v>
      </c>
      <c r="F893" s="8">
        <v>53.51</v>
      </c>
      <c r="H893" s="8">
        <v>53.82</v>
      </c>
      <c r="J893" s="8">
        <v>54.58</v>
      </c>
      <c r="L893" s="8">
        <v>55.5</v>
      </c>
    </row>
    <row r="894" spans="1:12" x14ac:dyDescent="0.35">
      <c r="A894" s="7">
        <v>44358</v>
      </c>
      <c r="F894" s="8">
        <v>53.1</v>
      </c>
      <c r="H894" s="8">
        <v>53.35</v>
      </c>
      <c r="J894" s="8">
        <v>54.02</v>
      </c>
      <c r="L894" s="8">
        <v>54.99</v>
      </c>
    </row>
    <row r="895" spans="1:12" x14ac:dyDescent="0.35">
      <c r="A895" s="7">
        <v>44359</v>
      </c>
      <c r="F895" s="8">
        <v>53.1</v>
      </c>
      <c r="H895" s="8">
        <v>53.35</v>
      </c>
      <c r="J895" s="8">
        <v>54.02</v>
      </c>
      <c r="L895" s="8">
        <v>54.99</v>
      </c>
    </row>
    <row r="896" spans="1:12" x14ac:dyDescent="0.35">
      <c r="A896" s="7">
        <v>44360</v>
      </c>
      <c r="F896" s="8">
        <v>53.1</v>
      </c>
      <c r="H896" s="8">
        <v>53.35</v>
      </c>
      <c r="J896" s="8">
        <v>54.02</v>
      </c>
      <c r="L896" s="8">
        <v>54.99</v>
      </c>
    </row>
    <row r="897" spans="1:12" x14ac:dyDescent="0.35">
      <c r="A897" s="7">
        <v>44361</v>
      </c>
      <c r="F897" s="8">
        <v>53.46</v>
      </c>
      <c r="H897" s="8">
        <v>53.95</v>
      </c>
      <c r="J897" s="8">
        <v>54.68</v>
      </c>
      <c r="L897" s="8">
        <v>55.68</v>
      </c>
    </row>
    <row r="898" spans="1:12" x14ac:dyDescent="0.35">
      <c r="A898" s="7">
        <v>44362</v>
      </c>
      <c r="F898" s="8">
        <v>51.63</v>
      </c>
      <c r="H898" s="8">
        <v>51.99</v>
      </c>
      <c r="J898" s="8">
        <v>52.57</v>
      </c>
      <c r="L898" s="8">
        <v>54.04</v>
      </c>
    </row>
    <row r="899" spans="1:12" x14ac:dyDescent="0.35">
      <c r="A899" s="7">
        <v>44363</v>
      </c>
      <c r="F899" s="8">
        <v>51.49</v>
      </c>
      <c r="H899" s="8">
        <v>51.88</v>
      </c>
      <c r="J899" s="8">
        <v>52.62</v>
      </c>
      <c r="L899" s="8">
        <v>53.47</v>
      </c>
    </row>
    <row r="900" spans="1:12" x14ac:dyDescent="0.35">
      <c r="A900" s="7">
        <v>44364</v>
      </c>
      <c r="F900" s="8">
        <v>50.96</v>
      </c>
      <c r="H900" s="8">
        <v>51.28</v>
      </c>
      <c r="J900" s="8">
        <v>51.98</v>
      </c>
      <c r="L900" s="8">
        <v>53.24</v>
      </c>
    </row>
    <row r="901" spans="1:12" x14ac:dyDescent="0.35">
      <c r="A901" s="7">
        <v>44365</v>
      </c>
      <c r="F901" s="8">
        <v>51.75</v>
      </c>
      <c r="H901" s="8">
        <v>52.16</v>
      </c>
      <c r="J901" s="8">
        <v>52.77</v>
      </c>
      <c r="L901" s="8">
        <v>53.75</v>
      </c>
    </row>
    <row r="902" spans="1:12" x14ac:dyDescent="0.35">
      <c r="A902" s="7">
        <v>44366</v>
      </c>
      <c r="F902" s="8">
        <v>51.75</v>
      </c>
      <c r="H902" s="8">
        <v>52.16</v>
      </c>
      <c r="J902" s="8">
        <v>52.77</v>
      </c>
      <c r="L902" s="8">
        <v>53.75</v>
      </c>
    </row>
    <row r="903" spans="1:12" x14ac:dyDescent="0.35">
      <c r="A903" s="7">
        <v>44367</v>
      </c>
      <c r="F903" s="8">
        <v>51.75</v>
      </c>
      <c r="H903" s="8">
        <v>52.16</v>
      </c>
      <c r="J903" s="8">
        <v>52.77</v>
      </c>
      <c r="L903" s="8">
        <v>53.75</v>
      </c>
    </row>
    <row r="904" spans="1:12" x14ac:dyDescent="0.35">
      <c r="A904" s="7">
        <v>44368</v>
      </c>
      <c r="F904" s="8">
        <v>52.4</v>
      </c>
      <c r="H904" s="8">
        <v>52.8</v>
      </c>
      <c r="J904" s="8">
        <v>53.68</v>
      </c>
      <c r="L904" s="8">
        <v>54.55</v>
      </c>
    </row>
    <row r="905" spans="1:12" x14ac:dyDescent="0.35">
      <c r="A905" s="7">
        <v>44369</v>
      </c>
      <c r="F905" s="8">
        <v>53.18</v>
      </c>
      <c r="H905" s="8">
        <v>53.62</v>
      </c>
      <c r="J905" s="8">
        <v>54.34</v>
      </c>
      <c r="L905" s="8">
        <v>55.23</v>
      </c>
    </row>
    <row r="906" spans="1:12" x14ac:dyDescent="0.35">
      <c r="A906" s="7">
        <v>44370</v>
      </c>
      <c r="F906" s="8">
        <v>54.19</v>
      </c>
      <c r="H906" s="8">
        <v>54.56</v>
      </c>
      <c r="J906" s="8">
        <v>55.42</v>
      </c>
      <c r="L906" s="11">
        <v>56.61</v>
      </c>
    </row>
    <row r="907" spans="1:12" x14ac:dyDescent="0.35">
      <c r="A907" s="7">
        <v>44371</v>
      </c>
      <c r="F907" s="8">
        <v>54.87</v>
      </c>
      <c r="H907" s="8">
        <v>55.34</v>
      </c>
      <c r="J907" s="8">
        <v>55.98</v>
      </c>
      <c r="L907" s="8">
        <v>57</v>
      </c>
    </row>
    <row r="908" spans="1:12" x14ac:dyDescent="0.35">
      <c r="A908" s="7">
        <v>44372</v>
      </c>
      <c r="F908" s="8">
        <v>55.4</v>
      </c>
      <c r="H908" s="8">
        <v>55.86</v>
      </c>
      <c r="J908" s="8">
        <v>56.19</v>
      </c>
      <c r="L908" s="8">
        <v>57.43</v>
      </c>
    </row>
    <row r="909" spans="1:12" x14ac:dyDescent="0.35">
      <c r="A909" s="7">
        <v>44373</v>
      </c>
      <c r="F909" s="8">
        <v>55.4</v>
      </c>
      <c r="H909" s="8">
        <v>55.86</v>
      </c>
      <c r="J909" s="8">
        <v>56.19</v>
      </c>
      <c r="L909" s="8">
        <v>57.43</v>
      </c>
    </row>
    <row r="910" spans="1:12" x14ac:dyDescent="0.35">
      <c r="A910" s="7">
        <v>44374</v>
      </c>
      <c r="F910" s="8">
        <v>55.4</v>
      </c>
      <c r="H910" s="8">
        <v>55.86</v>
      </c>
      <c r="J910" s="8">
        <v>56.19</v>
      </c>
      <c r="L910" s="8">
        <v>57.43</v>
      </c>
    </row>
    <row r="911" spans="1:12" x14ac:dyDescent="0.35">
      <c r="A911" s="7">
        <v>44375</v>
      </c>
      <c r="F911" s="8">
        <v>55.42</v>
      </c>
      <c r="H911" s="8">
        <v>55.81</v>
      </c>
      <c r="J911" s="8">
        <v>56.63</v>
      </c>
      <c r="L911" s="8">
        <v>57.71</v>
      </c>
    </row>
    <row r="912" spans="1:12" x14ac:dyDescent="0.35">
      <c r="A912" s="7">
        <v>44376</v>
      </c>
      <c r="F912" s="8">
        <v>55.72</v>
      </c>
      <c r="H912" s="8">
        <v>56.11</v>
      </c>
      <c r="J912" s="8">
        <v>56.81</v>
      </c>
      <c r="L912" s="8">
        <v>57.88</v>
      </c>
    </row>
    <row r="913" spans="1:12" x14ac:dyDescent="0.35">
      <c r="A913" s="7">
        <v>44377</v>
      </c>
      <c r="F913" s="8">
        <v>54.05</v>
      </c>
      <c r="H913" s="8">
        <v>56.43</v>
      </c>
      <c r="J913" s="8">
        <v>57.03</v>
      </c>
      <c r="L913" s="8">
        <v>57.9</v>
      </c>
    </row>
    <row r="914" spans="1:12" x14ac:dyDescent="0.35">
      <c r="A914" s="7">
        <v>44378</v>
      </c>
      <c r="F914" s="8">
        <v>57.92</v>
      </c>
      <c r="H914" s="8">
        <v>58.5</v>
      </c>
      <c r="J914" s="8">
        <v>59.19</v>
      </c>
      <c r="L914" s="8">
        <v>60.13</v>
      </c>
    </row>
    <row r="915" spans="1:12" x14ac:dyDescent="0.35">
      <c r="A915" s="7">
        <v>44379</v>
      </c>
      <c r="F915" s="8">
        <v>57.63</v>
      </c>
      <c r="H915" s="8">
        <v>58.09</v>
      </c>
      <c r="J915" s="8">
        <v>58.67</v>
      </c>
      <c r="L915" s="8">
        <v>59.41</v>
      </c>
    </row>
    <row r="916" spans="1:12" x14ac:dyDescent="0.35">
      <c r="A916" s="7">
        <v>44380</v>
      </c>
      <c r="F916" s="8">
        <v>57.63</v>
      </c>
      <c r="H916" s="8">
        <v>58.09</v>
      </c>
      <c r="J916" s="8">
        <v>58.67</v>
      </c>
      <c r="L916" s="8">
        <v>59.41</v>
      </c>
    </row>
    <row r="917" spans="1:12" x14ac:dyDescent="0.35">
      <c r="A917" s="7">
        <v>44381</v>
      </c>
      <c r="F917" s="8">
        <v>57.63</v>
      </c>
      <c r="H917" s="8">
        <v>58.09</v>
      </c>
      <c r="J917" s="8">
        <v>58.67</v>
      </c>
      <c r="L917" s="8">
        <v>59.41</v>
      </c>
    </row>
    <row r="918" spans="1:12" x14ac:dyDescent="0.35">
      <c r="A918" s="7">
        <v>44382</v>
      </c>
      <c r="F918" s="8">
        <v>58</v>
      </c>
      <c r="H918" s="8">
        <v>58.38</v>
      </c>
      <c r="J918" s="8">
        <v>59.08</v>
      </c>
      <c r="L918" s="8">
        <v>59.89</v>
      </c>
    </row>
    <row r="919" spans="1:12" x14ac:dyDescent="0.35">
      <c r="A919" s="7">
        <v>44383</v>
      </c>
      <c r="F919" s="8">
        <v>55.46</v>
      </c>
      <c r="H919" s="8">
        <v>56.31</v>
      </c>
      <c r="J919" s="8">
        <v>57.15</v>
      </c>
      <c r="L919" s="8">
        <v>57.92</v>
      </c>
    </row>
    <row r="920" spans="1:12" x14ac:dyDescent="0.35">
      <c r="A920" s="7">
        <v>44384</v>
      </c>
      <c r="F920" s="8">
        <v>53.62</v>
      </c>
      <c r="H920" s="8">
        <v>54.14</v>
      </c>
      <c r="J920" s="8">
        <v>54.73</v>
      </c>
      <c r="L920" s="8">
        <v>55.7</v>
      </c>
    </row>
    <row r="921" spans="1:12" x14ac:dyDescent="0.35">
      <c r="A921" s="7">
        <v>44385</v>
      </c>
      <c r="F921" s="8">
        <v>51.91</v>
      </c>
      <c r="H921" s="8">
        <v>52.26</v>
      </c>
      <c r="J921" s="8">
        <v>52.97</v>
      </c>
      <c r="L921" s="8">
        <v>54.01</v>
      </c>
    </row>
    <row r="922" spans="1:12" x14ac:dyDescent="0.35">
      <c r="A922" s="7">
        <v>44386</v>
      </c>
      <c r="F922" s="8">
        <v>53.83</v>
      </c>
      <c r="H922" s="8">
        <v>54.16</v>
      </c>
      <c r="J922" s="8">
        <v>54.87</v>
      </c>
      <c r="L922" s="8">
        <v>55.76</v>
      </c>
    </row>
    <row r="923" spans="1:12" x14ac:dyDescent="0.35">
      <c r="A923" s="7">
        <v>44387</v>
      </c>
      <c r="F923" s="8">
        <v>53.83</v>
      </c>
      <c r="H923" s="8">
        <v>54.16</v>
      </c>
      <c r="J923" s="8">
        <v>54.87</v>
      </c>
      <c r="L923" s="8">
        <v>55.76</v>
      </c>
    </row>
    <row r="924" spans="1:12" x14ac:dyDescent="0.35">
      <c r="A924" s="7">
        <v>44388</v>
      </c>
      <c r="F924" s="8">
        <v>53.83</v>
      </c>
      <c r="H924" s="8">
        <v>54.16</v>
      </c>
      <c r="J924" s="8">
        <v>54.87</v>
      </c>
      <c r="L924" s="8">
        <v>55.76</v>
      </c>
    </row>
    <row r="925" spans="1:12" x14ac:dyDescent="0.35">
      <c r="A925" s="7">
        <v>44389</v>
      </c>
      <c r="F925" s="8">
        <v>52.39</v>
      </c>
      <c r="H925" s="8">
        <v>52.87</v>
      </c>
      <c r="J925" s="8">
        <v>53.49</v>
      </c>
      <c r="L925" s="8">
        <v>54.59</v>
      </c>
    </row>
    <row r="926" spans="1:12" x14ac:dyDescent="0.35">
      <c r="A926" s="7">
        <v>44390</v>
      </c>
      <c r="F926" s="8">
        <v>52.55</v>
      </c>
      <c r="H926" s="8">
        <v>53.04</v>
      </c>
      <c r="J926" s="8">
        <v>53.75</v>
      </c>
      <c r="L926" s="8">
        <v>54.67</v>
      </c>
    </row>
    <row r="927" spans="1:12" x14ac:dyDescent="0.35">
      <c r="A927" s="7">
        <v>44391</v>
      </c>
      <c r="F927" s="8">
        <v>53.03</v>
      </c>
      <c r="H927" s="8">
        <v>53.25</v>
      </c>
      <c r="J927" s="8">
        <v>53.55</v>
      </c>
      <c r="L927" s="8">
        <v>54.7</v>
      </c>
    </row>
    <row r="928" spans="1:12" x14ac:dyDescent="0.35">
      <c r="A928" s="7">
        <v>44392</v>
      </c>
      <c r="F928" s="8">
        <v>52.73</v>
      </c>
      <c r="H928" s="8">
        <v>53.19</v>
      </c>
      <c r="J928" s="8">
        <v>53.78</v>
      </c>
      <c r="L928" s="8">
        <v>54.87</v>
      </c>
    </row>
    <row r="929" spans="1:12" x14ac:dyDescent="0.35">
      <c r="A929" s="7">
        <v>44393</v>
      </c>
      <c r="F929" s="8">
        <v>53.02</v>
      </c>
      <c r="H929" s="8">
        <v>53.43</v>
      </c>
      <c r="J929" s="8">
        <v>53.96</v>
      </c>
      <c r="L929" s="8">
        <v>54.94</v>
      </c>
    </row>
    <row r="930" spans="1:12" x14ac:dyDescent="0.35">
      <c r="A930" s="7">
        <v>44394</v>
      </c>
      <c r="F930" s="8">
        <v>53.02</v>
      </c>
      <c r="H930" s="8">
        <v>53.43</v>
      </c>
      <c r="J930" s="8">
        <v>53.96</v>
      </c>
      <c r="L930" s="8">
        <v>54.94</v>
      </c>
    </row>
    <row r="931" spans="1:12" x14ac:dyDescent="0.35">
      <c r="A931" s="7">
        <v>44395</v>
      </c>
      <c r="F931" s="8">
        <v>53.02</v>
      </c>
      <c r="H931" s="8">
        <v>53.43</v>
      </c>
      <c r="J931" s="8">
        <v>53.96</v>
      </c>
      <c r="L931" s="8">
        <v>54.94</v>
      </c>
    </row>
    <row r="932" spans="1:12" x14ac:dyDescent="0.35">
      <c r="A932" s="7">
        <v>44396</v>
      </c>
      <c r="F932" s="8">
        <v>53.1</v>
      </c>
      <c r="H932" s="8">
        <v>53.64</v>
      </c>
      <c r="J932" s="8">
        <v>54.12</v>
      </c>
      <c r="L932" s="8">
        <v>55.04</v>
      </c>
    </row>
    <row r="933" spans="1:12" x14ac:dyDescent="0.35">
      <c r="A933" s="7">
        <v>44397</v>
      </c>
      <c r="F933" s="8">
        <v>51.45</v>
      </c>
      <c r="H933" s="8">
        <v>52.04</v>
      </c>
      <c r="J933" s="8">
        <v>52.66</v>
      </c>
      <c r="L933" s="8">
        <v>53.96</v>
      </c>
    </row>
    <row r="934" spans="1:12" x14ac:dyDescent="0.35">
      <c r="A934" s="7">
        <v>44398</v>
      </c>
      <c r="F934" s="8">
        <v>51.72</v>
      </c>
      <c r="H934" s="8">
        <v>52.08</v>
      </c>
      <c r="J934" s="8">
        <v>52.84</v>
      </c>
      <c r="L934" s="8">
        <v>53.45</v>
      </c>
    </row>
    <row r="935" spans="1:12" x14ac:dyDescent="0.35">
      <c r="A935" s="7">
        <v>44399</v>
      </c>
      <c r="F935" s="8">
        <v>50.88</v>
      </c>
      <c r="H935" s="8">
        <v>51.14</v>
      </c>
      <c r="J935" s="8">
        <v>51.92</v>
      </c>
      <c r="L935" s="8">
        <v>52.59</v>
      </c>
    </row>
    <row r="936" spans="1:12" x14ac:dyDescent="0.35">
      <c r="A936" s="7">
        <v>44400</v>
      </c>
      <c r="F936" s="8">
        <v>50.49</v>
      </c>
      <c r="H936" s="8">
        <v>50.82</v>
      </c>
      <c r="J936" s="8">
        <v>51.38</v>
      </c>
      <c r="L936" s="8">
        <v>52.35</v>
      </c>
    </row>
    <row r="937" spans="1:12" x14ac:dyDescent="0.35">
      <c r="A937" s="7">
        <v>44401</v>
      </c>
      <c r="F937" s="8">
        <v>50.49</v>
      </c>
      <c r="H937" s="8">
        <v>50.82</v>
      </c>
      <c r="J937" s="8">
        <v>51.38</v>
      </c>
      <c r="L937" s="8">
        <v>52.35</v>
      </c>
    </row>
    <row r="938" spans="1:12" x14ac:dyDescent="0.35">
      <c r="A938" s="7">
        <v>44402</v>
      </c>
      <c r="F938" s="8">
        <v>50.49</v>
      </c>
      <c r="H938" s="8">
        <v>50.82</v>
      </c>
      <c r="J938" s="8">
        <v>51.38</v>
      </c>
      <c r="L938" s="8">
        <v>52.35</v>
      </c>
    </row>
    <row r="939" spans="1:12" x14ac:dyDescent="0.35">
      <c r="A939" s="7">
        <v>44403</v>
      </c>
      <c r="F939" s="8">
        <v>52.18</v>
      </c>
      <c r="H939" s="8">
        <v>52.66</v>
      </c>
      <c r="J939" s="8">
        <v>53.58</v>
      </c>
      <c r="L939" s="8">
        <v>54.27</v>
      </c>
    </row>
    <row r="940" spans="1:12" x14ac:dyDescent="0.35">
      <c r="A940" s="7">
        <v>44404</v>
      </c>
      <c r="F940" s="8">
        <v>53.22</v>
      </c>
      <c r="H940" s="8">
        <v>53.53</v>
      </c>
      <c r="J940" s="8">
        <v>54.12</v>
      </c>
      <c r="L940" s="8">
        <v>54.86</v>
      </c>
    </row>
    <row r="941" spans="1:12" x14ac:dyDescent="0.35">
      <c r="A941" s="7">
        <v>44405</v>
      </c>
      <c r="F941" s="8">
        <v>53.77</v>
      </c>
      <c r="H941" s="8">
        <v>54.1</v>
      </c>
      <c r="J941" s="8">
        <v>54.81</v>
      </c>
      <c r="L941" s="8">
        <v>55.57</v>
      </c>
    </row>
    <row r="942" spans="1:12" x14ac:dyDescent="0.35">
      <c r="A942" s="7">
        <v>44406</v>
      </c>
      <c r="F942" s="8">
        <v>53.84</v>
      </c>
      <c r="H942" s="8">
        <v>54.2</v>
      </c>
      <c r="J942" s="8">
        <v>54.72</v>
      </c>
      <c r="L942" s="8">
        <v>55.56</v>
      </c>
    </row>
    <row r="943" spans="1:12" x14ac:dyDescent="0.35">
      <c r="A943" s="7">
        <v>44407</v>
      </c>
      <c r="F943" s="8">
        <v>53.24</v>
      </c>
      <c r="H943" s="8">
        <v>53.63</v>
      </c>
      <c r="J943" s="8">
        <v>54.25</v>
      </c>
      <c r="L943" s="8">
        <v>55.03</v>
      </c>
    </row>
    <row r="944" spans="1:12" x14ac:dyDescent="0.35">
      <c r="A944" s="7">
        <v>44408</v>
      </c>
      <c r="F944" s="8">
        <v>53.24</v>
      </c>
      <c r="H944" s="8">
        <v>53.63</v>
      </c>
      <c r="J944" s="8">
        <v>54.25</v>
      </c>
      <c r="L944" s="8">
        <v>55.03</v>
      </c>
    </row>
    <row r="945" spans="1:12" x14ac:dyDescent="0.35">
      <c r="A945" s="7">
        <v>44409</v>
      </c>
      <c r="F945" s="8">
        <v>53.24</v>
      </c>
      <c r="H945" s="8">
        <v>53.63</v>
      </c>
      <c r="J945" s="8">
        <v>54.25</v>
      </c>
      <c r="L945" s="8">
        <v>55.03</v>
      </c>
    </row>
    <row r="946" spans="1:12" x14ac:dyDescent="0.35">
      <c r="A946" s="7">
        <v>44410</v>
      </c>
      <c r="F946" s="8">
        <v>54.65</v>
      </c>
      <c r="H946" s="8">
        <v>55.14</v>
      </c>
      <c r="J946" s="8">
        <v>55.81</v>
      </c>
      <c r="L946" s="8">
        <v>56.52</v>
      </c>
    </row>
    <row r="947" spans="1:12" x14ac:dyDescent="0.35">
      <c r="A947" s="7">
        <v>44411</v>
      </c>
      <c r="F947" s="8">
        <v>54.51</v>
      </c>
      <c r="H947" s="8">
        <v>55.01</v>
      </c>
      <c r="J947" s="8">
        <v>55.72</v>
      </c>
      <c r="L947" s="8">
        <v>56.46</v>
      </c>
    </row>
    <row r="948" spans="1:12" x14ac:dyDescent="0.35">
      <c r="A948" s="7">
        <v>44412</v>
      </c>
      <c r="F948" s="8">
        <v>55.04</v>
      </c>
      <c r="H948" s="8">
        <v>55.4</v>
      </c>
      <c r="J948" s="8">
        <v>56.23</v>
      </c>
      <c r="L948" s="8">
        <v>56.91</v>
      </c>
    </row>
    <row r="949" spans="1:12" x14ac:dyDescent="0.35">
      <c r="A949" s="7">
        <v>44413</v>
      </c>
      <c r="F949" s="8">
        <v>55.3</v>
      </c>
      <c r="H949" s="8">
        <v>55.57</v>
      </c>
      <c r="J949" s="8">
        <v>56.16</v>
      </c>
      <c r="L949" s="8">
        <v>56.91</v>
      </c>
    </row>
    <row r="950" spans="1:12" x14ac:dyDescent="0.35">
      <c r="A950" s="7">
        <v>44414</v>
      </c>
      <c r="F950" s="8">
        <v>56.6</v>
      </c>
      <c r="H950" s="8">
        <v>57.01</v>
      </c>
      <c r="J950" s="8">
        <v>57.64</v>
      </c>
      <c r="L950" s="8">
        <v>58.29</v>
      </c>
    </row>
    <row r="951" spans="1:12" x14ac:dyDescent="0.35">
      <c r="A951" s="7">
        <v>44415</v>
      </c>
      <c r="F951" s="8">
        <v>56.6</v>
      </c>
      <c r="H951" s="8">
        <v>57.01</v>
      </c>
      <c r="J951" s="8">
        <v>57.64</v>
      </c>
      <c r="L951" s="8">
        <v>58.29</v>
      </c>
    </row>
    <row r="952" spans="1:12" x14ac:dyDescent="0.35">
      <c r="A952" s="7">
        <v>44416</v>
      </c>
      <c r="F952" s="8">
        <v>56.6</v>
      </c>
      <c r="H952" s="8">
        <v>57.01</v>
      </c>
      <c r="J952" s="8">
        <v>57.64</v>
      </c>
      <c r="L952" s="8">
        <v>58.29</v>
      </c>
    </row>
    <row r="953" spans="1:12" x14ac:dyDescent="0.35">
      <c r="A953" s="7">
        <v>44417</v>
      </c>
      <c r="F953" s="8">
        <v>56.69</v>
      </c>
      <c r="H953" s="8">
        <v>56.88</v>
      </c>
      <c r="J953" s="8">
        <v>57.66</v>
      </c>
      <c r="L953" s="8">
        <v>58.84</v>
      </c>
    </row>
    <row r="954" spans="1:12" x14ac:dyDescent="0.35">
      <c r="A954" s="7">
        <v>44418</v>
      </c>
      <c r="F954" s="8">
        <v>57.18</v>
      </c>
      <c r="H954" s="8">
        <v>57.56</v>
      </c>
      <c r="J954" s="8">
        <v>58.16</v>
      </c>
      <c r="L954" s="8">
        <v>59.11</v>
      </c>
    </row>
    <row r="955" spans="1:12" x14ac:dyDescent="0.35">
      <c r="A955" s="7">
        <v>44419</v>
      </c>
      <c r="F955" s="8">
        <v>57.02</v>
      </c>
      <c r="H955" s="8">
        <v>56.97</v>
      </c>
      <c r="J955" s="8">
        <v>57.98</v>
      </c>
      <c r="L955" s="8">
        <v>59.35</v>
      </c>
    </row>
    <row r="956" spans="1:12" x14ac:dyDescent="0.35">
      <c r="A956" s="7">
        <v>44420</v>
      </c>
      <c r="F956" s="8">
        <v>57.2</v>
      </c>
      <c r="H956" s="8">
        <v>57.46</v>
      </c>
      <c r="J956" s="8">
        <v>58.29</v>
      </c>
      <c r="L956" s="8">
        <v>58.56</v>
      </c>
    </row>
    <row r="957" spans="1:12" x14ac:dyDescent="0.35">
      <c r="A957" s="7">
        <v>44421</v>
      </c>
      <c r="F957" s="8">
        <v>55.65</v>
      </c>
      <c r="H957" s="8">
        <v>55.95</v>
      </c>
      <c r="J957" s="8">
        <v>56.82</v>
      </c>
      <c r="L957" s="8">
        <v>58.02</v>
      </c>
    </row>
    <row r="958" spans="1:12" x14ac:dyDescent="0.35">
      <c r="A958" s="7">
        <v>44422</v>
      </c>
      <c r="F958" s="8">
        <v>55.65</v>
      </c>
      <c r="H958" s="8">
        <v>55.95</v>
      </c>
      <c r="J958" s="8">
        <v>56.82</v>
      </c>
      <c r="L958" s="8">
        <v>58.02</v>
      </c>
    </row>
    <row r="959" spans="1:12" x14ac:dyDescent="0.35">
      <c r="A959" s="7">
        <v>44423</v>
      </c>
      <c r="F959" s="8">
        <v>55.65</v>
      </c>
      <c r="H959" s="8">
        <v>55.95</v>
      </c>
      <c r="J959" s="8">
        <v>56.82</v>
      </c>
      <c r="L959" s="8">
        <v>58.02</v>
      </c>
    </row>
    <row r="960" spans="1:12" x14ac:dyDescent="0.35">
      <c r="A960" s="7">
        <v>44424</v>
      </c>
      <c r="F960" s="8">
        <v>57.47</v>
      </c>
      <c r="H960" s="8">
        <v>57.85</v>
      </c>
      <c r="J960" s="8">
        <v>58.6</v>
      </c>
      <c r="L960" s="8">
        <v>59.33</v>
      </c>
    </row>
    <row r="961" spans="1:12" x14ac:dyDescent="0.35">
      <c r="A961" s="7">
        <v>44425</v>
      </c>
      <c r="F961" s="8">
        <v>57.69</v>
      </c>
      <c r="H961" s="8">
        <v>58.03</v>
      </c>
      <c r="J961" s="8">
        <v>58.64</v>
      </c>
      <c r="L961" s="8">
        <v>59.59</v>
      </c>
    </row>
    <row r="962" spans="1:12" x14ac:dyDescent="0.35">
      <c r="A962" s="7">
        <v>44426</v>
      </c>
      <c r="F962" s="8">
        <v>56.91</v>
      </c>
      <c r="H962" s="8">
        <v>57.24</v>
      </c>
      <c r="J962" s="8">
        <v>58.05</v>
      </c>
      <c r="L962" s="8">
        <v>59.42</v>
      </c>
    </row>
    <row r="963" spans="1:12" x14ac:dyDescent="0.35">
      <c r="A963" s="7">
        <v>44427</v>
      </c>
      <c r="F963" s="8">
        <v>54.83</v>
      </c>
      <c r="H963" s="8">
        <v>55.52</v>
      </c>
      <c r="J963" s="8">
        <v>56.77</v>
      </c>
      <c r="L963" s="8">
        <v>57.01</v>
      </c>
    </row>
    <row r="964" spans="1:12" x14ac:dyDescent="0.35">
      <c r="A964" s="7">
        <v>44428</v>
      </c>
      <c r="F964" s="8">
        <v>54.19</v>
      </c>
      <c r="H964" s="8">
        <v>54.62</v>
      </c>
      <c r="J964" s="8">
        <v>55.32</v>
      </c>
      <c r="L964" s="8">
        <v>56.19</v>
      </c>
    </row>
    <row r="965" spans="1:12" x14ac:dyDescent="0.35">
      <c r="A965" s="7">
        <v>44429</v>
      </c>
      <c r="F965" s="8">
        <v>54.19</v>
      </c>
      <c r="H965" s="8">
        <v>54.62</v>
      </c>
      <c r="J965" s="8">
        <v>55.32</v>
      </c>
      <c r="L965" s="8">
        <v>56.19</v>
      </c>
    </row>
    <row r="966" spans="1:12" x14ac:dyDescent="0.35">
      <c r="A966" s="7">
        <v>44430</v>
      </c>
      <c r="F966" s="8">
        <v>54.19</v>
      </c>
      <c r="H966" s="8">
        <v>54.62</v>
      </c>
      <c r="J966" s="8">
        <v>55.32</v>
      </c>
      <c r="L966" s="8">
        <v>56.19</v>
      </c>
    </row>
    <row r="967" spans="1:12" x14ac:dyDescent="0.35">
      <c r="A967" s="7">
        <v>44431</v>
      </c>
      <c r="F967" s="8">
        <v>55.62</v>
      </c>
      <c r="H967" s="8">
        <v>55.97</v>
      </c>
      <c r="J967" s="8">
        <v>56.85</v>
      </c>
      <c r="L967" s="8">
        <v>57.46</v>
      </c>
    </row>
    <row r="968" spans="1:12" x14ac:dyDescent="0.35">
      <c r="A968" s="7">
        <v>44432</v>
      </c>
      <c r="F968" s="8">
        <v>56.3</v>
      </c>
      <c r="H968" s="8">
        <v>56.55</v>
      </c>
      <c r="J968" s="8">
        <v>57.15</v>
      </c>
      <c r="L968" s="8">
        <v>58.11</v>
      </c>
    </row>
    <row r="969" spans="1:12" x14ac:dyDescent="0.35">
      <c r="A969" s="7">
        <v>44433</v>
      </c>
      <c r="F969" s="8">
        <v>56.55</v>
      </c>
      <c r="H969" s="8">
        <v>56.92</v>
      </c>
      <c r="J969" s="8">
        <v>57.75</v>
      </c>
      <c r="L969" s="8">
        <v>58.29</v>
      </c>
    </row>
    <row r="970" spans="1:12" x14ac:dyDescent="0.35">
      <c r="A970" s="7">
        <v>44434</v>
      </c>
      <c r="F970" s="8">
        <v>56.69</v>
      </c>
      <c r="H970" s="8">
        <v>56.78</v>
      </c>
      <c r="J970" s="8">
        <v>57.36</v>
      </c>
      <c r="L970" s="8">
        <v>58.76</v>
      </c>
    </row>
    <row r="971" spans="1:12" x14ac:dyDescent="0.35">
      <c r="A971" s="7">
        <v>44435</v>
      </c>
      <c r="F971" s="8">
        <v>58.4</v>
      </c>
      <c r="H971" s="8">
        <v>58.56</v>
      </c>
      <c r="J971" s="8">
        <v>58.94</v>
      </c>
      <c r="L971" s="8">
        <v>59.89</v>
      </c>
    </row>
    <row r="972" spans="1:12" x14ac:dyDescent="0.35">
      <c r="A972" s="7">
        <v>44436</v>
      </c>
      <c r="F972" s="8">
        <v>58.4</v>
      </c>
      <c r="H972" s="8">
        <v>58.56</v>
      </c>
      <c r="J972" s="8">
        <v>58.94</v>
      </c>
      <c r="L972" s="8">
        <v>59.89</v>
      </c>
    </row>
    <row r="973" spans="1:12" x14ac:dyDescent="0.35">
      <c r="A973" s="7">
        <v>44437</v>
      </c>
      <c r="F973" s="8">
        <v>58.4</v>
      </c>
      <c r="H973" s="8">
        <v>58.56</v>
      </c>
      <c r="J973" s="8">
        <v>58.94</v>
      </c>
      <c r="L973" s="8">
        <v>59.89</v>
      </c>
    </row>
    <row r="974" spans="1:12" x14ac:dyDescent="0.35">
      <c r="A974" s="7">
        <v>44438</v>
      </c>
      <c r="F974" s="8">
        <v>60.43</v>
      </c>
      <c r="H974" s="8">
        <v>60.62</v>
      </c>
      <c r="J974" s="8">
        <v>61.26</v>
      </c>
      <c r="L974" s="8">
        <v>62.12</v>
      </c>
    </row>
    <row r="975" spans="1:12" x14ac:dyDescent="0.35">
      <c r="A975" s="7">
        <v>44439</v>
      </c>
      <c r="F975" s="8">
        <v>60.49</v>
      </c>
      <c r="H975" s="8">
        <v>60.78</v>
      </c>
      <c r="J975" s="8">
        <v>61.37</v>
      </c>
      <c r="L975" s="8">
        <v>62.14</v>
      </c>
    </row>
    <row r="976" spans="1:12" x14ac:dyDescent="0.35">
      <c r="A976" s="7">
        <v>44440</v>
      </c>
      <c r="F976" s="8">
        <v>60.81</v>
      </c>
      <c r="H976" s="8">
        <v>61.15</v>
      </c>
      <c r="J976" s="8">
        <v>61.66</v>
      </c>
      <c r="L976" s="8">
        <v>62.92</v>
      </c>
    </row>
    <row r="977" spans="1:12" x14ac:dyDescent="0.35">
      <c r="A977" s="7">
        <v>44441</v>
      </c>
      <c r="F977" s="8">
        <v>60.76</v>
      </c>
      <c r="H977" s="8">
        <v>60.96</v>
      </c>
      <c r="J977" s="8">
        <v>61.61</v>
      </c>
      <c r="L977" s="8">
        <v>62.56</v>
      </c>
    </row>
    <row r="978" spans="1:12" x14ac:dyDescent="0.35">
      <c r="A978" s="7">
        <v>44442</v>
      </c>
      <c r="F978" s="8">
        <v>61.78</v>
      </c>
      <c r="H978" s="8">
        <v>62.12</v>
      </c>
      <c r="J978" s="8">
        <v>62.61</v>
      </c>
      <c r="L978" s="8">
        <v>63.64</v>
      </c>
    </row>
    <row r="979" spans="1:12" x14ac:dyDescent="0.35">
      <c r="A979" s="7">
        <v>44443</v>
      </c>
      <c r="F979" s="8">
        <v>61.78</v>
      </c>
      <c r="H979" s="8">
        <v>62.12</v>
      </c>
      <c r="J979" s="8">
        <v>62.61</v>
      </c>
      <c r="L979" s="8">
        <v>63.64</v>
      </c>
    </row>
    <row r="980" spans="1:12" x14ac:dyDescent="0.35">
      <c r="A980" s="7">
        <v>44444</v>
      </c>
      <c r="F980" s="8">
        <v>61.78</v>
      </c>
      <c r="H980" s="8">
        <v>62.12</v>
      </c>
      <c r="J980" s="8">
        <v>62.61</v>
      </c>
      <c r="L980" s="8">
        <v>63.64</v>
      </c>
    </row>
    <row r="981" spans="1:12" x14ac:dyDescent="0.35">
      <c r="A981" s="7">
        <v>44445</v>
      </c>
      <c r="F981" s="8">
        <v>62.52</v>
      </c>
      <c r="H981" s="8">
        <v>62.9</v>
      </c>
      <c r="J981" s="8">
        <v>63.48</v>
      </c>
      <c r="L981" s="8">
        <v>64.260000000000005</v>
      </c>
    </row>
    <row r="982" spans="1:12" x14ac:dyDescent="0.35">
      <c r="A982" s="7">
        <v>44446</v>
      </c>
      <c r="F982" s="8">
        <v>62.25</v>
      </c>
      <c r="H982" s="8">
        <v>62.5</v>
      </c>
      <c r="J982" s="8">
        <v>63.34</v>
      </c>
      <c r="L982" s="8">
        <v>64.349999999999994</v>
      </c>
    </row>
    <row r="983" spans="1:12" x14ac:dyDescent="0.35">
      <c r="A983" s="7">
        <v>44447</v>
      </c>
      <c r="F983" s="8">
        <v>62.59</v>
      </c>
      <c r="H983" s="8">
        <v>63.14</v>
      </c>
      <c r="J983" s="8">
        <v>63.74</v>
      </c>
      <c r="L983" s="8">
        <v>64.87</v>
      </c>
    </row>
    <row r="984" spans="1:12" x14ac:dyDescent="0.35">
      <c r="A984" s="7">
        <v>44448</v>
      </c>
      <c r="F984" s="8">
        <v>62.57</v>
      </c>
      <c r="H984" s="8">
        <v>62.93</v>
      </c>
      <c r="J984" s="8">
        <v>63.69</v>
      </c>
      <c r="L984" s="8">
        <v>64.48</v>
      </c>
    </row>
    <row r="985" spans="1:12" x14ac:dyDescent="0.35">
      <c r="A985" s="7">
        <v>44449</v>
      </c>
      <c r="F985" s="8">
        <v>61.68</v>
      </c>
      <c r="H985" s="8">
        <v>62.06</v>
      </c>
      <c r="J985" s="8">
        <v>62.82</v>
      </c>
      <c r="L985" s="8">
        <v>63.61</v>
      </c>
    </row>
    <row r="986" spans="1:12" x14ac:dyDescent="0.35">
      <c r="A986" s="7">
        <v>44450</v>
      </c>
      <c r="F986" s="8">
        <v>61.68</v>
      </c>
      <c r="H986" s="8">
        <v>62.06</v>
      </c>
      <c r="J986" s="8">
        <v>62.82</v>
      </c>
      <c r="L986" s="8">
        <v>63.61</v>
      </c>
    </row>
    <row r="987" spans="1:12" x14ac:dyDescent="0.35">
      <c r="A987" s="7">
        <v>44451</v>
      </c>
      <c r="F987" s="8">
        <v>61.68</v>
      </c>
      <c r="H987" s="8">
        <v>62.06</v>
      </c>
      <c r="J987" s="8">
        <v>62.82</v>
      </c>
      <c r="L987" s="8">
        <v>63.61</v>
      </c>
    </row>
    <row r="988" spans="1:12" x14ac:dyDescent="0.35">
      <c r="A988" s="7">
        <v>44452</v>
      </c>
      <c r="F988" s="8">
        <v>61.88</v>
      </c>
      <c r="H988" s="8">
        <v>62.14</v>
      </c>
      <c r="J988" s="8">
        <v>62.97</v>
      </c>
      <c r="L988" s="8">
        <v>63.96</v>
      </c>
    </row>
    <row r="989" spans="1:12" x14ac:dyDescent="0.35">
      <c r="A989" s="7">
        <v>44453</v>
      </c>
      <c r="F989" s="8">
        <v>60.4</v>
      </c>
      <c r="H989" s="8">
        <v>60.69</v>
      </c>
      <c r="J989" s="8">
        <v>61.11</v>
      </c>
      <c r="L989" s="8">
        <v>62.44</v>
      </c>
    </row>
    <row r="990" spans="1:12" x14ac:dyDescent="0.35">
      <c r="A990" s="7">
        <v>44454</v>
      </c>
      <c r="F990" s="8">
        <v>60.04</v>
      </c>
      <c r="H990" s="8">
        <v>60.2</v>
      </c>
      <c r="J990" s="8">
        <v>60.75</v>
      </c>
      <c r="L990" s="8">
        <v>61.35</v>
      </c>
    </row>
    <row r="991" spans="1:12" x14ac:dyDescent="0.35">
      <c r="A991" s="7">
        <v>44455</v>
      </c>
      <c r="F991" s="8">
        <v>59.44</v>
      </c>
      <c r="H991" s="8">
        <v>59.79</v>
      </c>
      <c r="J991" s="8">
        <v>60.46</v>
      </c>
      <c r="L991" s="8">
        <v>60.98</v>
      </c>
    </row>
    <row r="992" spans="1:12" x14ac:dyDescent="0.35">
      <c r="A992" s="7">
        <v>44456</v>
      </c>
      <c r="F992" s="8">
        <v>59.67</v>
      </c>
      <c r="H992" s="8">
        <v>60.04</v>
      </c>
      <c r="J992" s="8">
        <v>60.72</v>
      </c>
      <c r="L992" s="8">
        <v>61.62</v>
      </c>
    </row>
    <row r="993" spans="1:12" x14ac:dyDescent="0.35">
      <c r="A993" s="7">
        <v>44457</v>
      </c>
      <c r="F993" s="8">
        <v>59.67</v>
      </c>
      <c r="H993" s="8">
        <v>60.04</v>
      </c>
      <c r="J993" s="8">
        <v>60.72</v>
      </c>
      <c r="L993" s="8">
        <v>61.62</v>
      </c>
    </row>
    <row r="994" spans="1:12" x14ac:dyDescent="0.35">
      <c r="A994" s="7">
        <v>44458</v>
      </c>
      <c r="F994" s="8">
        <v>59.67</v>
      </c>
      <c r="H994" s="8">
        <v>60.04</v>
      </c>
      <c r="J994" s="8">
        <v>60.72</v>
      </c>
      <c r="L994" s="8">
        <v>61.62</v>
      </c>
    </row>
    <row r="995" spans="1:12" x14ac:dyDescent="0.35">
      <c r="A995" s="7">
        <v>44459</v>
      </c>
      <c r="F995" s="8">
        <v>59.57</v>
      </c>
      <c r="H995" s="8">
        <v>59.64</v>
      </c>
      <c r="J995" s="8">
        <v>60.51</v>
      </c>
      <c r="L995" s="8">
        <v>60.72</v>
      </c>
    </row>
    <row r="996" spans="1:12" x14ac:dyDescent="0.35">
      <c r="A996" s="7">
        <v>44460</v>
      </c>
      <c r="F996" s="8">
        <v>60.29</v>
      </c>
      <c r="H996" s="8">
        <v>60.6</v>
      </c>
      <c r="J996" s="8">
        <v>61.17</v>
      </c>
      <c r="L996" s="8">
        <v>61.94</v>
      </c>
    </row>
    <row r="997" spans="1:12" x14ac:dyDescent="0.35">
      <c r="A997" s="7">
        <v>44461</v>
      </c>
      <c r="F997" s="8">
        <v>60.25</v>
      </c>
      <c r="H997" s="8">
        <v>60.54</v>
      </c>
      <c r="J997" s="8">
        <v>61.2</v>
      </c>
      <c r="L997" s="8">
        <v>62.06</v>
      </c>
    </row>
    <row r="998" spans="1:12" x14ac:dyDescent="0.35">
      <c r="A998" s="7">
        <v>44462</v>
      </c>
      <c r="F998" s="8">
        <v>60.13</v>
      </c>
      <c r="H998" s="8">
        <v>60.38</v>
      </c>
      <c r="J998" s="8">
        <v>60.87</v>
      </c>
      <c r="L998" s="8">
        <v>62.13</v>
      </c>
    </row>
    <row r="999" spans="1:12" x14ac:dyDescent="0.35">
      <c r="A999" s="7">
        <v>44463</v>
      </c>
      <c r="F999" s="8">
        <v>61.91</v>
      </c>
      <c r="H999" s="8">
        <v>62.01</v>
      </c>
      <c r="J999" s="8">
        <v>62.58</v>
      </c>
      <c r="L999" s="8">
        <v>63.48</v>
      </c>
    </row>
    <row r="1000" spans="1:12" x14ac:dyDescent="0.35">
      <c r="A1000" s="7">
        <v>44464</v>
      </c>
      <c r="F1000" s="8">
        <v>61.91</v>
      </c>
      <c r="H1000" s="8">
        <v>62.01</v>
      </c>
      <c r="J1000" s="8">
        <v>62.58</v>
      </c>
      <c r="L1000" s="8">
        <v>63.48</v>
      </c>
    </row>
    <row r="1001" spans="1:12" x14ac:dyDescent="0.35">
      <c r="A1001" s="7">
        <v>44465</v>
      </c>
      <c r="F1001" s="8">
        <v>61.91</v>
      </c>
      <c r="H1001" s="8">
        <v>62.01</v>
      </c>
      <c r="J1001" s="8">
        <v>62.58</v>
      </c>
      <c r="L1001" s="8">
        <v>63.48</v>
      </c>
    </row>
    <row r="1002" spans="1:12" x14ac:dyDescent="0.35">
      <c r="A1002" s="7">
        <v>44466</v>
      </c>
      <c r="F1002" s="8">
        <v>64.37</v>
      </c>
      <c r="H1002" s="8">
        <v>64.72</v>
      </c>
      <c r="J1002" s="8">
        <v>65.38</v>
      </c>
      <c r="L1002" s="8">
        <v>66.459999999999994</v>
      </c>
    </row>
    <row r="1003" spans="1:12" x14ac:dyDescent="0.35">
      <c r="A1003" s="7">
        <v>44467</v>
      </c>
      <c r="F1003" s="8">
        <v>64.08</v>
      </c>
      <c r="H1003" s="8">
        <v>64.69</v>
      </c>
      <c r="J1003" s="8">
        <v>65.650000000000006</v>
      </c>
      <c r="L1003" s="8">
        <v>67.09</v>
      </c>
    </row>
    <row r="1004" spans="1:12" x14ac:dyDescent="0.35">
      <c r="A1004" s="7">
        <v>44468</v>
      </c>
      <c r="F1004" s="8">
        <v>62.32</v>
      </c>
      <c r="H1004" s="8">
        <v>62.67</v>
      </c>
      <c r="J1004" s="8">
        <v>63.42</v>
      </c>
      <c r="L1004" s="8">
        <v>64.150000000000006</v>
      </c>
    </row>
    <row r="1005" spans="1:12" x14ac:dyDescent="0.35">
      <c r="A1005" s="7">
        <v>44469</v>
      </c>
      <c r="F1005" s="8">
        <v>61.44</v>
      </c>
      <c r="H1005" s="8">
        <v>61.78</v>
      </c>
      <c r="J1005" s="8">
        <v>62.65</v>
      </c>
      <c r="L1005" s="8">
        <v>63.31</v>
      </c>
    </row>
    <row r="1006" spans="1:12" x14ac:dyDescent="0.35">
      <c r="A1006" s="7">
        <v>44470</v>
      </c>
      <c r="F1006" s="8">
        <v>62.6</v>
      </c>
      <c r="H1006" s="8">
        <v>63.2</v>
      </c>
      <c r="J1006" s="8">
        <v>63.82</v>
      </c>
      <c r="L1006" s="8">
        <v>64.81</v>
      </c>
    </row>
    <row r="1007" spans="1:12" x14ac:dyDescent="0.35">
      <c r="A1007" s="7">
        <v>44471</v>
      </c>
      <c r="F1007" s="8">
        <v>62.6</v>
      </c>
      <c r="H1007" s="8">
        <v>63.2</v>
      </c>
      <c r="J1007" s="8">
        <v>63.82</v>
      </c>
      <c r="L1007" s="8">
        <v>64.81</v>
      </c>
    </row>
    <row r="1008" spans="1:12" x14ac:dyDescent="0.35">
      <c r="A1008" s="7">
        <v>44472</v>
      </c>
      <c r="F1008" s="8">
        <v>62.6</v>
      </c>
      <c r="H1008" s="8">
        <v>63.2</v>
      </c>
      <c r="J1008" s="8">
        <v>63.82</v>
      </c>
      <c r="L1008" s="8">
        <v>64.81</v>
      </c>
    </row>
    <row r="1009" spans="1:12" x14ac:dyDescent="0.35">
      <c r="A1009" s="7">
        <v>44473</v>
      </c>
      <c r="F1009" s="8">
        <v>63.7</v>
      </c>
      <c r="H1009" s="8">
        <v>64.19</v>
      </c>
      <c r="J1009" s="8">
        <v>64.78</v>
      </c>
      <c r="L1009" s="8">
        <v>65.819999999999993</v>
      </c>
    </row>
    <row r="1010" spans="1:12" x14ac:dyDescent="0.35">
      <c r="A1010" s="7">
        <v>44474</v>
      </c>
      <c r="F1010" s="8">
        <v>64.44</v>
      </c>
      <c r="H1010" s="8">
        <v>64.81</v>
      </c>
      <c r="J1010" s="8">
        <v>65.56</v>
      </c>
      <c r="L1010" s="8">
        <v>66.28</v>
      </c>
    </row>
    <row r="1011" spans="1:12" x14ac:dyDescent="0.35">
      <c r="A1011" s="7">
        <v>44475</v>
      </c>
      <c r="F1011" s="8">
        <v>60.85</v>
      </c>
      <c r="H1011" s="8">
        <v>61.53</v>
      </c>
      <c r="J1011" s="8">
        <v>62.04</v>
      </c>
      <c r="L1011" s="8">
        <v>62.63</v>
      </c>
    </row>
    <row r="1012" spans="1:12" x14ac:dyDescent="0.35">
      <c r="A1012" s="7">
        <v>44476</v>
      </c>
      <c r="F1012" s="8">
        <v>59.26</v>
      </c>
      <c r="H1012" s="8">
        <v>59.85</v>
      </c>
      <c r="J1012" s="8">
        <v>60.7</v>
      </c>
      <c r="L1012" s="8">
        <v>61.52</v>
      </c>
    </row>
    <row r="1013" spans="1:12" x14ac:dyDescent="0.35">
      <c r="A1013" s="7">
        <v>44477</v>
      </c>
      <c r="F1013" s="8">
        <v>59.44</v>
      </c>
      <c r="H1013" s="8">
        <v>60.02</v>
      </c>
      <c r="J1013" s="8">
        <v>60.92</v>
      </c>
      <c r="L1013" s="8">
        <v>61.81</v>
      </c>
    </row>
    <row r="1014" spans="1:12" x14ac:dyDescent="0.35">
      <c r="A1014" s="7">
        <v>44478</v>
      </c>
      <c r="F1014" s="8">
        <v>59.44</v>
      </c>
      <c r="H1014" s="8">
        <v>60.02</v>
      </c>
      <c r="J1014" s="8">
        <v>60.92</v>
      </c>
      <c r="L1014" s="8">
        <v>61.81</v>
      </c>
    </row>
    <row r="1015" spans="1:12" x14ac:dyDescent="0.35">
      <c r="A1015" s="7">
        <v>44479</v>
      </c>
      <c r="F1015" s="8">
        <v>59.44</v>
      </c>
      <c r="H1015" s="8">
        <v>60.02</v>
      </c>
      <c r="J1015" s="8">
        <v>60.92</v>
      </c>
      <c r="L1015" s="8">
        <v>61.81</v>
      </c>
    </row>
    <row r="1016" spans="1:12" x14ac:dyDescent="0.35">
      <c r="A1016" s="7">
        <v>44480</v>
      </c>
      <c r="F1016" s="8">
        <v>59.44</v>
      </c>
      <c r="H1016" s="8">
        <v>59.88</v>
      </c>
      <c r="J1016" s="8">
        <v>60.63</v>
      </c>
      <c r="L1016" s="8">
        <v>61.43</v>
      </c>
    </row>
    <row r="1017" spans="1:12" x14ac:dyDescent="0.35">
      <c r="A1017" s="7">
        <v>44481</v>
      </c>
      <c r="F1017" s="8">
        <v>59.02</v>
      </c>
      <c r="H1017" s="8">
        <v>59.39</v>
      </c>
      <c r="J1017" s="8">
        <v>60.1</v>
      </c>
      <c r="L1017" s="8">
        <v>60.92</v>
      </c>
    </row>
    <row r="1018" spans="1:12" x14ac:dyDescent="0.35">
      <c r="A1018" s="7">
        <v>44482</v>
      </c>
      <c r="F1018" s="8">
        <v>59.38</v>
      </c>
      <c r="H1018" s="8">
        <v>59.82</v>
      </c>
      <c r="J1018" s="8">
        <v>60.29</v>
      </c>
      <c r="L1018" s="8">
        <v>61.49</v>
      </c>
    </row>
    <row r="1019" spans="1:12" x14ac:dyDescent="0.35">
      <c r="A1019" s="7">
        <v>44483</v>
      </c>
      <c r="F1019" s="8">
        <v>60.36</v>
      </c>
      <c r="H1019" s="8">
        <v>60.46</v>
      </c>
      <c r="J1019" s="8">
        <v>60.97</v>
      </c>
      <c r="L1019" s="8">
        <v>61.92</v>
      </c>
    </row>
    <row r="1020" spans="1:12" x14ac:dyDescent="0.35">
      <c r="A1020" s="7">
        <v>44484</v>
      </c>
      <c r="F1020" s="8">
        <v>60.46</v>
      </c>
      <c r="H1020" s="8">
        <v>60.58</v>
      </c>
      <c r="J1020" s="8">
        <v>61.86</v>
      </c>
      <c r="L1020" s="8">
        <v>62.92</v>
      </c>
    </row>
    <row r="1021" spans="1:12" x14ac:dyDescent="0.35">
      <c r="A1021" s="7">
        <v>44485</v>
      </c>
      <c r="F1021" s="8">
        <v>60.46</v>
      </c>
      <c r="H1021" s="8">
        <v>60.58</v>
      </c>
      <c r="J1021" s="8">
        <v>61.86</v>
      </c>
      <c r="L1021" s="8">
        <v>62.92</v>
      </c>
    </row>
    <row r="1022" spans="1:12" x14ac:dyDescent="0.35">
      <c r="A1022" s="7">
        <v>44486</v>
      </c>
      <c r="F1022" s="8">
        <v>60.46</v>
      </c>
      <c r="H1022" s="8">
        <v>60.58</v>
      </c>
      <c r="J1022" s="8">
        <v>61.86</v>
      </c>
      <c r="L1022" s="8">
        <v>62.92</v>
      </c>
    </row>
    <row r="1023" spans="1:12" x14ac:dyDescent="0.35">
      <c r="A1023" s="7">
        <v>44487</v>
      </c>
      <c r="F1023" s="8">
        <v>58.6</v>
      </c>
      <c r="H1023" s="8">
        <v>58.95</v>
      </c>
      <c r="J1023" s="8">
        <v>59.78</v>
      </c>
      <c r="L1023" s="8">
        <v>60.65</v>
      </c>
    </row>
    <row r="1024" spans="1:12" x14ac:dyDescent="0.35">
      <c r="A1024" s="7">
        <v>44488</v>
      </c>
      <c r="F1024" s="8">
        <v>56.31</v>
      </c>
      <c r="H1024" s="8">
        <v>56.94</v>
      </c>
      <c r="J1024" s="8">
        <v>57.46</v>
      </c>
      <c r="L1024" s="8">
        <v>58</v>
      </c>
    </row>
    <row r="1025" spans="1:12" x14ac:dyDescent="0.35">
      <c r="A1025" s="7">
        <v>44489</v>
      </c>
      <c r="F1025" s="8">
        <v>56.52</v>
      </c>
      <c r="H1025" s="8">
        <v>57.06</v>
      </c>
      <c r="J1025" s="8">
        <v>57.62</v>
      </c>
      <c r="L1025" s="8">
        <v>58.24</v>
      </c>
    </row>
    <row r="1026" spans="1:12" x14ac:dyDescent="0.35">
      <c r="A1026" s="7">
        <v>44490</v>
      </c>
      <c r="F1026" s="8">
        <v>57.74</v>
      </c>
      <c r="H1026" s="8">
        <v>58.18</v>
      </c>
      <c r="J1026" s="8">
        <v>58.84</v>
      </c>
      <c r="L1026" s="8">
        <v>59.59</v>
      </c>
    </row>
    <row r="1027" spans="1:12" x14ac:dyDescent="0.35">
      <c r="A1027" s="7">
        <v>44491</v>
      </c>
      <c r="F1027" s="8">
        <v>59.2</v>
      </c>
      <c r="H1027" s="8">
        <v>59.74</v>
      </c>
      <c r="J1027" s="8">
        <v>60.6</v>
      </c>
      <c r="L1027" s="8">
        <v>61.28</v>
      </c>
    </row>
    <row r="1028" spans="1:12" x14ac:dyDescent="0.35">
      <c r="A1028" s="7">
        <v>44492</v>
      </c>
      <c r="F1028" s="8">
        <v>59.2</v>
      </c>
      <c r="H1028" s="8">
        <v>59.74</v>
      </c>
      <c r="J1028" s="8">
        <v>60.6</v>
      </c>
      <c r="L1028" s="8">
        <v>61.28</v>
      </c>
    </row>
    <row r="1029" spans="1:12" x14ac:dyDescent="0.35">
      <c r="A1029" s="7">
        <v>44493</v>
      </c>
      <c r="F1029" s="8">
        <v>59.2</v>
      </c>
      <c r="H1029" s="8">
        <v>59.74</v>
      </c>
      <c r="J1029" s="8">
        <v>60.6</v>
      </c>
      <c r="L1029" s="8">
        <v>61.28</v>
      </c>
    </row>
    <row r="1030" spans="1:12" x14ac:dyDescent="0.35">
      <c r="A1030" s="7">
        <v>44494</v>
      </c>
      <c r="F1030" s="8">
        <v>59.12</v>
      </c>
      <c r="H1030" s="8">
        <v>59.54</v>
      </c>
      <c r="J1030" s="8">
        <v>60.34</v>
      </c>
      <c r="L1030" s="8">
        <v>60.81</v>
      </c>
    </row>
    <row r="1031" spans="1:12" x14ac:dyDescent="0.35">
      <c r="A1031" s="7">
        <v>44495</v>
      </c>
      <c r="F1031" s="8">
        <v>59.6</v>
      </c>
      <c r="H1031" s="8">
        <v>60.04</v>
      </c>
      <c r="J1031" s="8">
        <v>60.87</v>
      </c>
      <c r="L1031" s="8">
        <v>61.56</v>
      </c>
    </row>
    <row r="1032" spans="1:12" x14ac:dyDescent="0.35">
      <c r="A1032" s="7">
        <v>44496</v>
      </c>
      <c r="F1032" s="8">
        <v>59.35</v>
      </c>
      <c r="H1032" s="8">
        <v>59.63</v>
      </c>
      <c r="J1032" s="8">
        <v>60.33</v>
      </c>
      <c r="L1032" s="8">
        <v>61.03</v>
      </c>
    </row>
    <row r="1033" spans="1:12" x14ac:dyDescent="0.35">
      <c r="A1033" s="7">
        <v>44497</v>
      </c>
      <c r="F1033" s="8">
        <v>58.64</v>
      </c>
      <c r="H1033" s="8">
        <v>59.08</v>
      </c>
      <c r="J1033" s="8">
        <v>60</v>
      </c>
      <c r="L1033" s="11">
        <f>AVERAGE(F1033-F1032,H1033-H1032,J1033-J1032)+L1032</f>
        <v>60.5</v>
      </c>
    </row>
    <row r="1034" spans="1:12" x14ac:dyDescent="0.35">
      <c r="A1034" s="7">
        <v>44498</v>
      </c>
      <c r="F1034" s="8">
        <v>58.69</v>
      </c>
      <c r="H1034" s="8">
        <v>59.45</v>
      </c>
      <c r="J1034" s="8">
        <v>60.01</v>
      </c>
      <c r="L1034" s="8">
        <v>60.7</v>
      </c>
    </row>
    <row r="1035" spans="1:12" x14ac:dyDescent="0.35">
      <c r="A1035" s="7">
        <v>44499</v>
      </c>
      <c r="F1035" s="8">
        <v>58.69</v>
      </c>
      <c r="H1035" s="8">
        <v>59.45</v>
      </c>
      <c r="J1035" s="8">
        <v>60.01</v>
      </c>
      <c r="L1035" s="8">
        <v>60.7</v>
      </c>
    </row>
    <row r="1036" spans="1:12" x14ac:dyDescent="0.35">
      <c r="A1036" s="7">
        <v>44500</v>
      </c>
      <c r="F1036" s="8">
        <v>58.69</v>
      </c>
      <c r="H1036" s="8">
        <v>59.45</v>
      </c>
      <c r="J1036" s="8">
        <v>60.01</v>
      </c>
      <c r="L1036" s="8">
        <v>60.7</v>
      </c>
    </row>
    <row r="1037" spans="1:12" x14ac:dyDescent="0.35">
      <c r="A1037" s="7">
        <v>44501</v>
      </c>
      <c r="F1037" s="8">
        <v>58.69</v>
      </c>
      <c r="H1037" s="8">
        <v>59.45</v>
      </c>
      <c r="J1037" s="8">
        <v>60.21</v>
      </c>
      <c r="L1037" s="8">
        <v>60.7</v>
      </c>
    </row>
    <row r="1038" spans="1:12" x14ac:dyDescent="0.35">
      <c r="A1038" s="7">
        <v>44502</v>
      </c>
      <c r="F1038" s="8">
        <v>58.61</v>
      </c>
      <c r="H1038" s="8">
        <v>58.82</v>
      </c>
      <c r="J1038" s="8">
        <v>59.46</v>
      </c>
      <c r="L1038" s="11">
        <v>61.32</v>
      </c>
    </row>
    <row r="1039" spans="1:12" x14ac:dyDescent="0.35">
      <c r="A1039" s="7">
        <v>44503</v>
      </c>
      <c r="F1039" s="8">
        <v>59.85</v>
      </c>
      <c r="H1039" s="8">
        <v>60.17</v>
      </c>
      <c r="J1039" s="8">
        <v>60.99</v>
      </c>
      <c r="L1039" s="11">
        <v>61.69</v>
      </c>
    </row>
    <row r="1040" spans="1:12" x14ac:dyDescent="0.35">
      <c r="A1040" s="7">
        <v>44504</v>
      </c>
      <c r="F1040" s="8">
        <v>60.16</v>
      </c>
      <c r="H1040" s="8">
        <v>60.63</v>
      </c>
      <c r="J1040" s="8">
        <v>61.62</v>
      </c>
      <c r="L1040" s="8">
        <v>61.15</v>
      </c>
    </row>
    <row r="1041" spans="1:12" x14ac:dyDescent="0.35">
      <c r="A1041" s="7">
        <v>44505</v>
      </c>
      <c r="F1041" s="8">
        <v>60.11</v>
      </c>
      <c r="H1041" s="8">
        <v>60.71</v>
      </c>
      <c r="J1041" s="8">
        <v>61.2</v>
      </c>
      <c r="L1041" s="8">
        <v>62.42</v>
      </c>
    </row>
    <row r="1042" spans="1:12" x14ac:dyDescent="0.35">
      <c r="A1042" s="7">
        <v>44506</v>
      </c>
      <c r="F1042" s="8">
        <v>60.11</v>
      </c>
      <c r="H1042" s="8">
        <v>60.71</v>
      </c>
      <c r="J1042" s="8">
        <v>61.2</v>
      </c>
      <c r="L1042" s="8">
        <v>62.42</v>
      </c>
    </row>
    <row r="1043" spans="1:12" x14ac:dyDescent="0.35">
      <c r="A1043" s="7">
        <v>44507</v>
      </c>
      <c r="F1043" s="8">
        <v>60.11</v>
      </c>
      <c r="H1043" s="8">
        <v>60.71</v>
      </c>
      <c r="J1043" s="8">
        <v>61.2</v>
      </c>
      <c r="L1043" s="8">
        <v>62.42</v>
      </c>
    </row>
    <row r="1044" spans="1:12" x14ac:dyDescent="0.35">
      <c r="A1044" s="7">
        <v>44508</v>
      </c>
      <c r="F1044" s="8">
        <v>60.44</v>
      </c>
      <c r="H1044" s="8">
        <v>60.76</v>
      </c>
      <c r="J1044" s="8">
        <v>61.49</v>
      </c>
      <c r="L1044" s="8">
        <v>61.9</v>
      </c>
    </row>
    <row r="1045" spans="1:12" x14ac:dyDescent="0.35">
      <c r="A1045" s="7">
        <v>44509</v>
      </c>
      <c r="F1045" s="8">
        <v>60.67</v>
      </c>
      <c r="H1045" s="8">
        <v>61.16</v>
      </c>
      <c r="J1045" s="8">
        <v>61.97</v>
      </c>
      <c r="L1045" s="11">
        <v>62.39</v>
      </c>
    </row>
    <row r="1046" spans="1:12" x14ac:dyDescent="0.35">
      <c r="A1046" s="7">
        <v>44510</v>
      </c>
      <c r="F1046" s="8">
        <v>60.67</v>
      </c>
      <c r="H1046" s="8">
        <v>61.16</v>
      </c>
      <c r="J1046" s="8">
        <v>62.69</v>
      </c>
      <c r="L1046" s="8">
        <v>62.48</v>
      </c>
    </row>
    <row r="1047" spans="1:12" x14ac:dyDescent="0.35">
      <c r="A1047" s="7">
        <v>44511</v>
      </c>
      <c r="F1047" s="8">
        <v>62.93</v>
      </c>
      <c r="H1047" s="8">
        <v>63.29</v>
      </c>
      <c r="J1047" s="8">
        <v>64.06</v>
      </c>
      <c r="L1047" s="8">
        <v>65.67</v>
      </c>
    </row>
    <row r="1048" spans="1:12" x14ac:dyDescent="0.35">
      <c r="A1048" s="7">
        <v>44512</v>
      </c>
      <c r="F1048" s="8">
        <v>63.66</v>
      </c>
      <c r="H1048" s="8">
        <v>64.099999999999994</v>
      </c>
      <c r="J1048" s="8">
        <v>64.75</v>
      </c>
      <c r="L1048" s="8">
        <v>65.5</v>
      </c>
    </row>
    <row r="1049" spans="1:12" x14ac:dyDescent="0.35">
      <c r="A1049" s="7">
        <v>44513</v>
      </c>
      <c r="F1049" s="8">
        <v>63.66</v>
      </c>
      <c r="H1049" s="8">
        <v>64.099999999999994</v>
      </c>
      <c r="J1049" s="8">
        <v>64.75</v>
      </c>
      <c r="L1049" s="8">
        <v>65.5</v>
      </c>
    </row>
    <row r="1050" spans="1:12" x14ac:dyDescent="0.35">
      <c r="A1050" s="7">
        <v>44514</v>
      </c>
      <c r="F1050" s="8">
        <v>63.66</v>
      </c>
      <c r="H1050" s="8">
        <v>64.099999999999994</v>
      </c>
      <c r="J1050" s="8">
        <v>64.75</v>
      </c>
      <c r="L1050" s="8">
        <v>65.5</v>
      </c>
    </row>
    <row r="1051" spans="1:12" x14ac:dyDescent="0.35">
      <c r="A1051" s="7">
        <v>44515</v>
      </c>
      <c r="F1051" s="8">
        <v>65.09</v>
      </c>
      <c r="H1051" s="8">
        <v>65.540000000000006</v>
      </c>
      <c r="J1051" s="8">
        <v>66.69</v>
      </c>
      <c r="L1051" s="8">
        <v>66.959999999999994</v>
      </c>
    </row>
    <row r="1052" spans="1:12" x14ac:dyDescent="0.35">
      <c r="A1052" s="7">
        <v>44516</v>
      </c>
      <c r="F1052" s="8">
        <v>67.22</v>
      </c>
      <c r="H1052" s="8">
        <v>67.489999999999995</v>
      </c>
      <c r="J1052" s="8">
        <v>68.48</v>
      </c>
      <c r="L1052" s="8">
        <v>69.2</v>
      </c>
    </row>
    <row r="1053" spans="1:12" x14ac:dyDescent="0.35">
      <c r="A1053" s="7">
        <v>44517</v>
      </c>
      <c r="F1053" s="8">
        <v>67.64</v>
      </c>
      <c r="H1053" s="8">
        <v>68.069999999999993</v>
      </c>
      <c r="J1053" s="8">
        <v>68.790000000000006</v>
      </c>
      <c r="L1053" s="8">
        <v>69.45</v>
      </c>
    </row>
    <row r="1054" spans="1:12" x14ac:dyDescent="0.35">
      <c r="A1054" s="7">
        <v>44518</v>
      </c>
      <c r="F1054" s="8">
        <v>67.52</v>
      </c>
      <c r="H1054" s="8">
        <v>67.5</v>
      </c>
      <c r="J1054" s="8">
        <v>68.319999999999993</v>
      </c>
      <c r="L1054" s="8">
        <v>68.59</v>
      </c>
    </row>
    <row r="1055" spans="1:12" x14ac:dyDescent="0.35">
      <c r="A1055" s="7">
        <v>44519</v>
      </c>
      <c r="F1055" s="8">
        <v>69.19</v>
      </c>
      <c r="H1055" s="8">
        <v>69.42</v>
      </c>
      <c r="J1055" s="8">
        <v>70.459999999999994</v>
      </c>
      <c r="L1055" s="8">
        <v>70.849999999999994</v>
      </c>
    </row>
    <row r="1056" spans="1:12" x14ac:dyDescent="0.35">
      <c r="A1056" s="7">
        <v>44520</v>
      </c>
      <c r="F1056" s="8">
        <v>69.19</v>
      </c>
      <c r="H1056" s="8">
        <v>69.42</v>
      </c>
      <c r="J1056" s="8">
        <v>70.459999999999994</v>
      </c>
      <c r="L1056" s="8">
        <v>70.849999999999994</v>
      </c>
    </row>
    <row r="1057" spans="1:12" x14ac:dyDescent="0.35">
      <c r="A1057" s="7">
        <v>44521</v>
      </c>
      <c r="F1057" s="8">
        <v>69.19</v>
      </c>
      <c r="H1057" s="8">
        <v>69.42</v>
      </c>
      <c r="J1057" s="8">
        <v>70.459999999999994</v>
      </c>
      <c r="L1057" s="8">
        <v>70.849999999999994</v>
      </c>
    </row>
    <row r="1058" spans="1:12" x14ac:dyDescent="0.35">
      <c r="A1058" s="7">
        <v>44522</v>
      </c>
      <c r="F1058" s="8">
        <v>70.099999999999994</v>
      </c>
      <c r="H1058" s="8">
        <v>70.42</v>
      </c>
      <c r="J1058" s="8">
        <v>71.31</v>
      </c>
      <c r="L1058" s="8">
        <v>72.040000000000006</v>
      </c>
    </row>
    <row r="1059" spans="1:12" x14ac:dyDescent="0.35">
      <c r="A1059" s="7">
        <v>44523</v>
      </c>
      <c r="F1059" s="8">
        <v>69.78</v>
      </c>
      <c r="H1059" s="8">
        <v>70.14</v>
      </c>
      <c r="J1059" s="8">
        <v>70.95</v>
      </c>
      <c r="L1059" s="8">
        <v>71.56</v>
      </c>
    </row>
    <row r="1060" spans="1:12" x14ac:dyDescent="0.35">
      <c r="A1060" s="7">
        <v>44524</v>
      </c>
      <c r="F1060" s="8">
        <v>71.33</v>
      </c>
      <c r="H1060" s="8">
        <v>71.599999999999994</v>
      </c>
      <c r="J1060" s="8">
        <v>72.709999999999994</v>
      </c>
      <c r="L1060" s="8">
        <v>72.92</v>
      </c>
    </row>
    <row r="1061" spans="1:12" x14ac:dyDescent="0.35">
      <c r="A1061" s="7">
        <v>44525</v>
      </c>
      <c r="F1061" s="8">
        <v>73.47</v>
      </c>
      <c r="H1061" s="8">
        <v>73.959999999999994</v>
      </c>
      <c r="J1061" s="8">
        <v>74.73</v>
      </c>
      <c r="L1061" s="8">
        <v>75.8</v>
      </c>
    </row>
    <row r="1062" spans="1:12" x14ac:dyDescent="0.35">
      <c r="A1062" s="7">
        <v>44526</v>
      </c>
      <c r="F1062" s="8">
        <v>72.489999999999995</v>
      </c>
      <c r="H1062" s="8">
        <v>72.88</v>
      </c>
      <c r="J1062" s="8">
        <v>73.27</v>
      </c>
      <c r="L1062" s="8">
        <v>74.150000000000006</v>
      </c>
    </row>
    <row r="1063" spans="1:12" x14ac:dyDescent="0.35">
      <c r="A1063" s="7">
        <v>44527</v>
      </c>
      <c r="F1063" s="8">
        <v>72.489999999999995</v>
      </c>
      <c r="H1063" s="8">
        <v>72.88</v>
      </c>
      <c r="J1063" s="8">
        <v>73.27</v>
      </c>
      <c r="L1063" s="8">
        <v>74.150000000000006</v>
      </c>
    </row>
    <row r="1064" spans="1:12" x14ac:dyDescent="0.35">
      <c r="A1064" s="7">
        <v>44528</v>
      </c>
      <c r="F1064" s="8">
        <v>72.489999999999995</v>
      </c>
      <c r="H1064" s="8">
        <v>72.88</v>
      </c>
      <c r="J1064" s="8">
        <v>73.27</v>
      </c>
      <c r="L1064" s="8">
        <v>74.150000000000006</v>
      </c>
    </row>
    <row r="1065" spans="1:12" x14ac:dyDescent="0.35">
      <c r="A1065" s="7">
        <v>44529</v>
      </c>
      <c r="F1065" s="8">
        <v>74.63</v>
      </c>
      <c r="H1065" s="8">
        <v>75</v>
      </c>
      <c r="J1065" s="8">
        <v>75.67</v>
      </c>
      <c r="L1065" s="8">
        <v>76.959999999999994</v>
      </c>
    </row>
    <row r="1066" spans="1:12" x14ac:dyDescent="0.35">
      <c r="A1066" s="7">
        <v>44530</v>
      </c>
      <c r="F1066" s="8">
        <v>74.930000000000007</v>
      </c>
      <c r="H1066" s="8">
        <v>75.319999999999993</v>
      </c>
      <c r="J1066" s="8">
        <v>76.19</v>
      </c>
      <c r="L1066" s="8">
        <v>77.209999999999994</v>
      </c>
    </row>
    <row r="1067" spans="1:12" x14ac:dyDescent="0.35">
      <c r="A1067" s="7">
        <v>44531</v>
      </c>
      <c r="F1067" s="8">
        <v>76.8</v>
      </c>
      <c r="H1067" s="8">
        <v>77.239999999999995</v>
      </c>
      <c r="J1067" s="8">
        <v>77.92</v>
      </c>
      <c r="L1067" s="8">
        <v>78.650000000000006</v>
      </c>
    </row>
    <row r="1068" spans="1:12" x14ac:dyDescent="0.35">
      <c r="A1068" s="7">
        <v>44532</v>
      </c>
      <c r="F1068" s="8">
        <v>78.61</v>
      </c>
      <c r="H1068" s="8">
        <v>79.08</v>
      </c>
      <c r="J1068" s="8">
        <v>79.39</v>
      </c>
      <c r="L1068" s="8">
        <v>80.17</v>
      </c>
    </row>
    <row r="1069" spans="1:12" x14ac:dyDescent="0.35">
      <c r="A1069" s="7">
        <v>44533</v>
      </c>
      <c r="F1069" s="8">
        <v>79.150000000000006</v>
      </c>
      <c r="H1069" s="8">
        <v>79.63</v>
      </c>
      <c r="J1069" s="8">
        <v>80.37</v>
      </c>
      <c r="L1069" s="8">
        <v>81.22</v>
      </c>
    </row>
    <row r="1070" spans="1:12" x14ac:dyDescent="0.35">
      <c r="A1070" s="7">
        <v>44534</v>
      </c>
      <c r="F1070" s="8">
        <v>79.150000000000006</v>
      </c>
      <c r="H1070" s="8">
        <v>79.63</v>
      </c>
      <c r="J1070" s="8">
        <v>80.37</v>
      </c>
      <c r="L1070" s="8">
        <v>81.22</v>
      </c>
    </row>
    <row r="1071" spans="1:12" x14ac:dyDescent="0.35">
      <c r="A1071" s="7">
        <v>44535</v>
      </c>
      <c r="F1071" s="8">
        <v>79.150000000000006</v>
      </c>
      <c r="H1071" s="8">
        <v>79.63</v>
      </c>
      <c r="J1071" s="8">
        <v>80.37</v>
      </c>
      <c r="L1071" s="8">
        <v>81.22</v>
      </c>
    </row>
    <row r="1072" spans="1:12" x14ac:dyDescent="0.35">
      <c r="A1072" s="7">
        <v>44536</v>
      </c>
      <c r="F1072" s="8">
        <v>80.19</v>
      </c>
      <c r="H1072" s="8">
        <v>80.599999999999994</v>
      </c>
      <c r="J1072" s="8">
        <v>81.209999999999994</v>
      </c>
      <c r="L1072" s="8">
        <v>81.94</v>
      </c>
    </row>
    <row r="1073" spans="1:14" x14ac:dyDescent="0.35">
      <c r="A1073" s="7">
        <v>44537</v>
      </c>
      <c r="F1073" s="8">
        <v>83.68</v>
      </c>
      <c r="H1073" s="8">
        <v>84.09</v>
      </c>
      <c r="J1073" s="8">
        <v>85.14</v>
      </c>
      <c r="L1073" s="8">
        <v>85.84</v>
      </c>
    </row>
    <row r="1074" spans="1:14" x14ac:dyDescent="0.35">
      <c r="A1074" s="7">
        <v>44538</v>
      </c>
      <c r="F1074" s="8">
        <v>88.48</v>
      </c>
      <c r="H1074" s="8">
        <v>88.98</v>
      </c>
      <c r="J1074" s="8">
        <v>89.76</v>
      </c>
      <c r="L1074" s="8">
        <v>90.83</v>
      </c>
    </row>
    <row r="1075" spans="1:14" x14ac:dyDescent="0.35">
      <c r="A1075" s="7">
        <v>44539</v>
      </c>
      <c r="F1075" s="8">
        <v>84.02</v>
      </c>
      <c r="H1075" s="8">
        <v>84.87</v>
      </c>
      <c r="J1075" s="8">
        <v>85.62</v>
      </c>
      <c r="L1075" s="8">
        <v>87.57</v>
      </c>
    </row>
    <row r="1076" spans="1:14" x14ac:dyDescent="0.35">
      <c r="A1076" s="7">
        <v>44540</v>
      </c>
      <c r="F1076" s="8">
        <v>81.94</v>
      </c>
      <c r="H1076" s="8">
        <v>82.75</v>
      </c>
      <c r="J1076" s="8">
        <v>83.23</v>
      </c>
      <c r="L1076" s="8">
        <v>84.59</v>
      </c>
    </row>
    <row r="1077" spans="1:14" x14ac:dyDescent="0.35">
      <c r="A1077" s="7">
        <v>44541</v>
      </c>
      <c r="F1077" s="8">
        <v>81.94</v>
      </c>
      <c r="H1077" s="8">
        <v>82.75</v>
      </c>
      <c r="J1077" s="8">
        <v>83.23</v>
      </c>
      <c r="L1077" s="8">
        <v>84.59</v>
      </c>
    </row>
    <row r="1078" spans="1:14" x14ac:dyDescent="0.35">
      <c r="A1078" s="7">
        <v>44542</v>
      </c>
      <c r="F1078" s="8">
        <v>81.94</v>
      </c>
      <c r="H1078" s="8">
        <v>82.75</v>
      </c>
      <c r="J1078" s="8">
        <v>83.23</v>
      </c>
      <c r="L1078" s="8">
        <v>84.59</v>
      </c>
    </row>
    <row r="1079" spans="1:14" x14ac:dyDescent="0.35">
      <c r="A1079" s="7">
        <v>44543</v>
      </c>
      <c r="F1079" s="8">
        <v>84.37</v>
      </c>
      <c r="H1079" s="8">
        <v>84.77</v>
      </c>
      <c r="J1079" s="8">
        <v>85.58</v>
      </c>
      <c r="L1079" s="8">
        <v>87.58</v>
      </c>
    </row>
    <row r="1080" spans="1:14" x14ac:dyDescent="0.35">
      <c r="A1080" s="7">
        <v>44544</v>
      </c>
      <c r="F1080" s="8">
        <v>80.17</v>
      </c>
      <c r="H1080" s="8">
        <v>80.75</v>
      </c>
      <c r="J1080" s="8">
        <v>81.650000000000006</v>
      </c>
      <c r="L1080" s="8">
        <v>82.19</v>
      </c>
    </row>
    <row r="1081" spans="1:14" x14ac:dyDescent="0.35">
      <c r="A1081" s="7">
        <v>44545</v>
      </c>
      <c r="F1081" s="8">
        <v>80.209999999999994</v>
      </c>
      <c r="H1081" s="8">
        <v>80.89</v>
      </c>
      <c r="J1081" s="8">
        <v>81.66</v>
      </c>
      <c r="L1081" s="8">
        <v>82.75</v>
      </c>
    </row>
    <row r="1082" spans="1:14" x14ac:dyDescent="0.35">
      <c r="A1082" s="7">
        <v>44546</v>
      </c>
      <c r="F1082" s="8">
        <v>81.650000000000006</v>
      </c>
      <c r="H1082" s="8">
        <v>82.97</v>
      </c>
      <c r="J1082" s="8">
        <v>84.01</v>
      </c>
      <c r="L1082" s="8">
        <v>84.8</v>
      </c>
    </row>
    <row r="1083" spans="1:14" x14ac:dyDescent="0.35">
      <c r="A1083" s="7">
        <v>44547</v>
      </c>
      <c r="F1083" s="8">
        <v>77.38</v>
      </c>
      <c r="H1083" s="8">
        <v>77.5</v>
      </c>
      <c r="J1083" s="8">
        <v>77.95</v>
      </c>
      <c r="L1083" s="8">
        <v>78.2</v>
      </c>
    </row>
    <row r="1084" spans="1:14" x14ac:dyDescent="0.35">
      <c r="A1084" s="7">
        <v>44548</v>
      </c>
      <c r="F1084" s="8">
        <v>77.38</v>
      </c>
      <c r="H1084" s="8">
        <v>77.5</v>
      </c>
      <c r="J1084" s="8">
        <v>77.95</v>
      </c>
      <c r="L1084" s="8">
        <v>78.2</v>
      </c>
    </row>
    <row r="1085" spans="1:14" x14ac:dyDescent="0.35">
      <c r="A1085" s="7">
        <v>44549</v>
      </c>
      <c r="F1085" s="8">
        <v>77.38</v>
      </c>
      <c r="H1085" s="8">
        <v>77.5</v>
      </c>
      <c r="J1085" s="8">
        <v>77.95</v>
      </c>
      <c r="L1085" s="8">
        <v>78.2</v>
      </c>
    </row>
    <row r="1086" spans="1:14" x14ac:dyDescent="0.35">
      <c r="A1086" s="7">
        <v>44550</v>
      </c>
      <c r="F1086" s="8">
        <v>77.55</v>
      </c>
      <c r="H1086" s="8">
        <v>78.069999999999993</v>
      </c>
      <c r="J1086" s="8">
        <v>78.069999999999993</v>
      </c>
      <c r="L1086" s="8">
        <v>79.14</v>
      </c>
    </row>
    <row r="1087" spans="1:14" x14ac:dyDescent="0.35">
      <c r="A1087" s="7">
        <v>44551</v>
      </c>
      <c r="H1087" s="8">
        <v>81.06</v>
      </c>
      <c r="J1087" s="8">
        <v>81.790000000000006</v>
      </c>
      <c r="L1087" s="8">
        <v>82.64</v>
      </c>
    </row>
    <row r="1088" spans="1:14" x14ac:dyDescent="0.35">
      <c r="A1088" s="7">
        <v>44552</v>
      </c>
      <c r="H1088" s="8">
        <v>77.540000000000006</v>
      </c>
      <c r="J1088" s="8">
        <v>78.400000000000006</v>
      </c>
      <c r="L1088" s="8">
        <v>79.73</v>
      </c>
      <c r="N1088" s="11">
        <v>80.87</v>
      </c>
    </row>
    <row r="1089" spans="1:14" x14ac:dyDescent="0.35">
      <c r="A1089" s="7">
        <v>44553</v>
      </c>
      <c r="H1089" s="8">
        <v>77.540000000000006</v>
      </c>
      <c r="J1089" s="8">
        <v>76.36</v>
      </c>
      <c r="L1089" s="8">
        <v>79.73</v>
      </c>
      <c r="N1089" s="11">
        <v>80.87</v>
      </c>
    </row>
    <row r="1090" spans="1:14" x14ac:dyDescent="0.35">
      <c r="A1090" s="7">
        <v>44554</v>
      </c>
      <c r="H1090" s="8">
        <v>75.67</v>
      </c>
      <c r="J1090" s="8">
        <v>76.709999999999994</v>
      </c>
      <c r="L1090" s="8">
        <v>77.8</v>
      </c>
      <c r="N1090" s="11">
        <v>80.14</v>
      </c>
    </row>
    <row r="1091" spans="1:14" x14ac:dyDescent="0.35">
      <c r="A1091" s="7">
        <v>44555</v>
      </c>
      <c r="H1091" s="8">
        <v>75.67</v>
      </c>
      <c r="J1091" s="8">
        <v>76.709999999999994</v>
      </c>
      <c r="L1091" s="8">
        <v>77.8</v>
      </c>
      <c r="N1091" s="11">
        <v>80.14</v>
      </c>
    </row>
    <row r="1092" spans="1:14" x14ac:dyDescent="0.35">
      <c r="A1092" s="7">
        <v>44556</v>
      </c>
      <c r="H1092" s="8">
        <v>75.67</v>
      </c>
      <c r="J1092" s="8">
        <v>76.709999999999994</v>
      </c>
      <c r="L1092" s="8">
        <v>77.8</v>
      </c>
      <c r="N1092" s="11">
        <v>80.14</v>
      </c>
    </row>
    <row r="1093" spans="1:14" x14ac:dyDescent="0.35">
      <c r="A1093" s="7">
        <v>44557</v>
      </c>
      <c r="H1093" s="8">
        <v>76.42</v>
      </c>
      <c r="J1093" s="8">
        <v>77.23</v>
      </c>
      <c r="L1093" s="8">
        <v>78.430000000000007</v>
      </c>
      <c r="N1093" s="11">
        <v>80.61</v>
      </c>
    </row>
    <row r="1094" spans="1:14" x14ac:dyDescent="0.35">
      <c r="A1094" s="7">
        <v>44558</v>
      </c>
      <c r="H1094" s="8">
        <v>78.16</v>
      </c>
      <c r="J1094" s="8">
        <v>78.5</v>
      </c>
      <c r="L1094" s="11">
        <v>81.36</v>
      </c>
      <c r="N1094" s="11">
        <v>82.96</v>
      </c>
    </row>
    <row r="1095" spans="1:14" x14ac:dyDescent="0.35">
      <c r="A1095" s="7">
        <v>44559</v>
      </c>
      <c r="H1095" s="8">
        <v>79.66</v>
      </c>
      <c r="J1095" s="8">
        <v>80.19</v>
      </c>
      <c r="L1095" s="8">
        <v>81.760000000000005</v>
      </c>
      <c r="N1095" s="11">
        <v>84</v>
      </c>
    </row>
    <row r="1096" spans="1:14" x14ac:dyDescent="0.35">
      <c r="A1096" s="7">
        <v>44560</v>
      </c>
      <c r="H1096" s="8">
        <v>79.78</v>
      </c>
      <c r="J1096" s="8">
        <v>80.67</v>
      </c>
      <c r="L1096" s="8">
        <v>81.849999999999994</v>
      </c>
      <c r="N1096" s="11">
        <v>83.84</v>
      </c>
    </row>
    <row r="1097" spans="1:14" x14ac:dyDescent="0.35">
      <c r="A1097" s="7">
        <v>44561</v>
      </c>
      <c r="H1097" s="8">
        <v>80.37</v>
      </c>
      <c r="J1097" s="8">
        <v>81.319999999999993</v>
      </c>
      <c r="L1097" s="8">
        <v>81.83</v>
      </c>
      <c r="N1097" s="11">
        <v>84.34</v>
      </c>
    </row>
    <row r="1098" spans="1:14" x14ac:dyDescent="0.35">
      <c r="A1098" s="7">
        <v>44562</v>
      </c>
      <c r="H1098" s="8">
        <v>80.37</v>
      </c>
      <c r="J1098" s="8">
        <v>81.319999999999993</v>
      </c>
      <c r="L1098" s="8">
        <v>81.83</v>
      </c>
      <c r="N1098" s="11">
        <v>84.34</v>
      </c>
    </row>
    <row r="1099" spans="1:14" x14ac:dyDescent="0.35">
      <c r="A1099" s="7">
        <v>44563</v>
      </c>
      <c r="H1099" s="8">
        <v>80.37</v>
      </c>
      <c r="J1099" s="8">
        <v>81.319999999999993</v>
      </c>
      <c r="L1099" s="8">
        <v>81.83</v>
      </c>
      <c r="N1099" s="11">
        <v>84.34</v>
      </c>
    </row>
    <row r="1100" spans="1:14" x14ac:dyDescent="0.35">
      <c r="A1100" s="7">
        <v>44564</v>
      </c>
      <c r="H1100" s="8">
        <v>82.42</v>
      </c>
      <c r="J1100" s="8">
        <v>83.38</v>
      </c>
      <c r="L1100" s="11">
        <v>86.04</v>
      </c>
      <c r="N1100" s="11">
        <v>87.69</v>
      </c>
    </row>
    <row r="1101" spans="1:14" x14ac:dyDescent="0.35">
      <c r="A1101" s="7">
        <v>44565</v>
      </c>
      <c r="H1101" s="8">
        <v>85.6</v>
      </c>
      <c r="J1101" s="8">
        <v>86.61</v>
      </c>
      <c r="L1101" s="8">
        <v>87.81</v>
      </c>
      <c r="N1101" s="8">
        <v>88.8</v>
      </c>
    </row>
    <row r="1102" spans="1:14" x14ac:dyDescent="0.35">
      <c r="A1102" s="7">
        <v>44566</v>
      </c>
      <c r="H1102" s="8">
        <v>86.75</v>
      </c>
      <c r="J1102" s="8">
        <v>87.47</v>
      </c>
      <c r="L1102" s="8">
        <v>89.05</v>
      </c>
      <c r="N1102" s="8">
        <v>90.72</v>
      </c>
    </row>
    <row r="1103" spans="1:14" x14ac:dyDescent="0.35">
      <c r="A1103" s="7">
        <v>44567</v>
      </c>
      <c r="H1103" s="8">
        <v>86.75</v>
      </c>
      <c r="J1103" s="8">
        <v>87.84</v>
      </c>
      <c r="L1103" s="8">
        <v>89.05</v>
      </c>
      <c r="N1103" s="8">
        <v>90.72</v>
      </c>
    </row>
    <row r="1104" spans="1:14" x14ac:dyDescent="0.35">
      <c r="A1104" s="7">
        <v>44568</v>
      </c>
      <c r="H1104" s="8">
        <v>86.56</v>
      </c>
      <c r="J1104" s="8">
        <v>87.39</v>
      </c>
      <c r="L1104" s="8">
        <v>88.82</v>
      </c>
      <c r="N1104" s="11">
        <v>89.44</v>
      </c>
    </row>
    <row r="1105" spans="1:14" x14ac:dyDescent="0.35">
      <c r="A1105" s="7">
        <v>44569</v>
      </c>
      <c r="H1105" s="8">
        <v>86.56</v>
      </c>
      <c r="J1105" s="8">
        <v>87.39</v>
      </c>
      <c r="L1105" s="8">
        <v>88.82</v>
      </c>
      <c r="N1105" s="11">
        <v>89.44</v>
      </c>
    </row>
    <row r="1106" spans="1:14" x14ac:dyDescent="0.35">
      <c r="A1106" s="7">
        <v>44570</v>
      </c>
      <c r="H1106" s="8">
        <v>86.56</v>
      </c>
      <c r="J1106" s="8">
        <v>87.39</v>
      </c>
      <c r="L1106" s="8">
        <v>88.82</v>
      </c>
      <c r="N1106" s="11">
        <v>89.44</v>
      </c>
    </row>
    <row r="1107" spans="1:14" x14ac:dyDescent="0.35">
      <c r="A1107" s="7">
        <v>44571</v>
      </c>
      <c r="H1107" s="8">
        <v>82.51</v>
      </c>
      <c r="J1107" s="8">
        <v>83.41</v>
      </c>
      <c r="L1107" s="8">
        <v>84.83</v>
      </c>
      <c r="N1107" s="11">
        <v>84.09</v>
      </c>
    </row>
    <row r="1108" spans="1:14" x14ac:dyDescent="0.35">
      <c r="A1108" s="7">
        <v>44572</v>
      </c>
      <c r="H1108" s="8">
        <v>82.12</v>
      </c>
      <c r="J1108" s="8">
        <v>83.1</v>
      </c>
      <c r="L1108" s="8">
        <v>84.78</v>
      </c>
      <c r="N1108" s="8">
        <v>86.78</v>
      </c>
    </row>
    <row r="1109" spans="1:14" x14ac:dyDescent="0.35">
      <c r="A1109" s="7">
        <v>44573</v>
      </c>
      <c r="H1109" s="8">
        <v>81.22</v>
      </c>
      <c r="J1109" s="8">
        <v>82.55</v>
      </c>
      <c r="L1109" s="8">
        <v>84.05</v>
      </c>
      <c r="N1109" s="8">
        <v>86.26</v>
      </c>
    </row>
    <row r="1110" spans="1:14" x14ac:dyDescent="0.35">
      <c r="A1110" s="7">
        <v>44574</v>
      </c>
      <c r="H1110" s="8">
        <v>79.36</v>
      </c>
      <c r="J1110" s="8">
        <v>80.180000000000007</v>
      </c>
      <c r="L1110" s="8">
        <v>80.8</v>
      </c>
      <c r="N1110" s="8">
        <v>83.28</v>
      </c>
    </row>
    <row r="1111" spans="1:14" x14ac:dyDescent="0.35">
      <c r="A1111" s="7">
        <v>44575</v>
      </c>
      <c r="H1111" s="8">
        <v>82.32</v>
      </c>
      <c r="J1111" s="8">
        <v>83.2</v>
      </c>
      <c r="L1111" s="8">
        <v>84.5</v>
      </c>
      <c r="N1111" s="8">
        <v>86.11</v>
      </c>
    </row>
    <row r="1112" spans="1:14" x14ac:dyDescent="0.35">
      <c r="A1112" s="7">
        <v>44576</v>
      </c>
      <c r="H1112" s="8">
        <v>82.32</v>
      </c>
      <c r="J1112" s="8">
        <v>83.2</v>
      </c>
      <c r="L1112" s="8">
        <v>84.5</v>
      </c>
      <c r="N1112" s="8">
        <v>86.11</v>
      </c>
    </row>
    <row r="1113" spans="1:14" x14ac:dyDescent="0.35">
      <c r="A1113" s="7">
        <v>44577</v>
      </c>
      <c r="H1113" s="8">
        <v>82.32</v>
      </c>
      <c r="J1113" s="8">
        <v>83.2</v>
      </c>
      <c r="L1113" s="8">
        <v>84.5</v>
      </c>
      <c r="N1113" s="8">
        <v>86.11</v>
      </c>
    </row>
    <row r="1114" spans="1:14" x14ac:dyDescent="0.35">
      <c r="A1114" s="7">
        <v>44578</v>
      </c>
      <c r="H1114" s="8">
        <v>80.92</v>
      </c>
      <c r="J1114" s="8">
        <v>81.73</v>
      </c>
      <c r="L1114" s="8">
        <v>82.82</v>
      </c>
      <c r="N1114" s="11">
        <v>84.61</v>
      </c>
    </row>
    <row r="1115" spans="1:14" x14ac:dyDescent="0.35">
      <c r="A1115" s="7">
        <v>44579</v>
      </c>
      <c r="H1115" s="8">
        <v>80.91</v>
      </c>
      <c r="J1115" s="8">
        <v>81.75</v>
      </c>
      <c r="L1115" s="8">
        <v>82.89</v>
      </c>
      <c r="N1115" s="8">
        <v>84.64</v>
      </c>
    </row>
    <row r="1116" spans="1:14" x14ac:dyDescent="0.35">
      <c r="A1116" s="7">
        <v>44580</v>
      </c>
      <c r="H1116" s="8">
        <v>81.52</v>
      </c>
      <c r="J1116" s="8">
        <v>82.28</v>
      </c>
      <c r="L1116" s="8">
        <v>83.52</v>
      </c>
      <c r="N1116" s="8">
        <v>85.2</v>
      </c>
    </row>
    <row r="1117" spans="1:14" x14ac:dyDescent="0.35">
      <c r="A1117" s="7">
        <v>44581</v>
      </c>
      <c r="H1117" s="8">
        <v>83.39</v>
      </c>
      <c r="J1117" s="8">
        <v>83.99</v>
      </c>
      <c r="L1117" s="8">
        <v>86.47</v>
      </c>
    </row>
    <row r="1118" spans="1:14" x14ac:dyDescent="0.35">
      <c r="A1118" s="7">
        <v>44582</v>
      </c>
      <c r="H1118" s="8">
        <v>84.41</v>
      </c>
      <c r="J1118" s="8">
        <v>85.26</v>
      </c>
      <c r="L1118" s="8">
        <v>86.48</v>
      </c>
      <c r="N1118" s="8">
        <v>88.59</v>
      </c>
    </row>
    <row r="1119" spans="1:14" x14ac:dyDescent="0.35">
      <c r="A1119" s="7">
        <v>44583</v>
      </c>
      <c r="H1119" s="8">
        <v>84.41</v>
      </c>
      <c r="J1119" s="8">
        <v>85.26</v>
      </c>
      <c r="L1119" s="8">
        <v>86.48</v>
      </c>
      <c r="N1119" s="8">
        <v>88.59</v>
      </c>
    </row>
    <row r="1120" spans="1:14" x14ac:dyDescent="0.35">
      <c r="A1120" s="7">
        <v>44584</v>
      </c>
      <c r="H1120" s="8">
        <v>84.41</v>
      </c>
      <c r="J1120" s="8">
        <v>85.26</v>
      </c>
      <c r="L1120" s="8">
        <v>86.48</v>
      </c>
      <c r="N1120" s="8">
        <v>88.59</v>
      </c>
    </row>
    <row r="1121" spans="1:14" x14ac:dyDescent="0.35">
      <c r="A1121" s="7">
        <v>44585</v>
      </c>
      <c r="H1121" s="8">
        <v>85.1</v>
      </c>
      <c r="J1121" s="8">
        <v>85.94</v>
      </c>
      <c r="L1121" s="8">
        <v>87.71</v>
      </c>
      <c r="N1121" s="8">
        <v>87.95</v>
      </c>
    </row>
    <row r="1122" spans="1:14" x14ac:dyDescent="0.35">
      <c r="A1122" s="7">
        <v>44586</v>
      </c>
      <c r="H1122" s="8">
        <v>86.25</v>
      </c>
      <c r="J1122" s="8">
        <v>86.95</v>
      </c>
      <c r="L1122" s="8">
        <v>88.92</v>
      </c>
      <c r="N1122" s="11">
        <v>91.63</v>
      </c>
    </row>
    <row r="1123" spans="1:14" x14ac:dyDescent="0.35">
      <c r="A1123" s="7">
        <v>44587</v>
      </c>
      <c r="H1123" s="8">
        <v>89.07</v>
      </c>
      <c r="J1123" s="8">
        <v>89.92</v>
      </c>
      <c r="L1123" s="8">
        <v>91.49</v>
      </c>
      <c r="N1123" s="8">
        <v>93.52</v>
      </c>
    </row>
    <row r="1124" spans="1:14" x14ac:dyDescent="0.35">
      <c r="A1124" s="7">
        <v>44588</v>
      </c>
      <c r="H1124" s="8">
        <v>88.94</v>
      </c>
      <c r="J1124" s="8">
        <v>89.81</v>
      </c>
      <c r="L1124" s="8">
        <v>90.93</v>
      </c>
      <c r="N1124" s="8">
        <v>92.56</v>
      </c>
    </row>
    <row r="1125" spans="1:14" x14ac:dyDescent="0.35">
      <c r="A1125" s="7">
        <v>44589</v>
      </c>
      <c r="H1125" s="8">
        <v>89.64</v>
      </c>
      <c r="J1125" s="8">
        <v>90.56</v>
      </c>
      <c r="L1125" s="8">
        <v>91.88</v>
      </c>
      <c r="N1125" s="8">
        <v>94.15</v>
      </c>
    </row>
    <row r="1126" spans="1:14" x14ac:dyDescent="0.35">
      <c r="A1126" s="7">
        <v>44590</v>
      </c>
      <c r="H1126" s="8">
        <v>89.64</v>
      </c>
      <c r="J1126" s="8">
        <v>90.56</v>
      </c>
      <c r="L1126" s="8">
        <v>91.88</v>
      </c>
      <c r="N1126" s="8">
        <v>94.15</v>
      </c>
    </row>
    <row r="1127" spans="1:14" x14ac:dyDescent="0.35">
      <c r="A1127" s="7">
        <v>44591</v>
      </c>
      <c r="H1127" s="8">
        <v>89.64</v>
      </c>
      <c r="J1127" s="8">
        <v>90.56</v>
      </c>
      <c r="L1127" s="8">
        <v>91.88</v>
      </c>
      <c r="N1127" s="8">
        <v>94.15</v>
      </c>
    </row>
    <row r="1128" spans="1:14" x14ac:dyDescent="0.35">
      <c r="A1128" s="7">
        <v>44592</v>
      </c>
      <c r="H1128" s="8">
        <v>88.86</v>
      </c>
      <c r="J1128" s="8">
        <v>89.79</v>
      </c>
      <c r="L1128" s="8">
        <v>90.88</v>
      </c>
      <c r="N1128" s="11">
        <v>93.48</v>
      </c>
    </row>
    <row r="1129" spans="1:14" x14ac:dyDescent="0.35">
      <c r="A1129" s="7">
        <v>44593</v>
      </c>
      <c r="H1129" s="8">
        <v>88.58</v>
      </c>
      <c r="J1129" s="8">
        <v>89.36</v>
      </c>
      <c r="L1129" s="8">
        <v>90.13</v>
      </c>
      <c r="N1129" s="8">
        <v>92.29</v>
      </c>
    </row>
    <row r="1130" spans="1:14" x14ac:dyDescent="0.35">
      <c r="A1130" s="7">
        <v>44594</v>
      </c>
      <c r="H1130" s="8">
        <v>92.89</v>
      </c>
      <c r="J1130" s="8">
        <v>93.79</v>
      </c>
      <c r="L1130" s="8">
        <v>95.01</v>
      </c>
      <c r="N1130" s="8">
        <v>97.1</v>
      </c>
    </row>
    <row r="1131" spans="1:14" x14ac:dyDescent="0.35">
      <c r="A1131" s="7">
        <v>44595</v>
      </c>
      <c r="H1131" s="8">
        <v>93.89</v>
      </c>
      <c r="J1131" s="8">
        <v>94.93</v>
      </c>
      <c r="L1131" s="8">
        <v>96.32</v>
      </c>
      <c r="N1131" s="8">
        <v>97.92</v>
      </c>
    </row>
    <row r="1132" spans="1:14" x14ac:dyDescent="0.35">
      <c r="A1132" s="7">
        <v>44596</v>
      </c>
      <c r="H1132" s="8">
        <v>96.09</v>
      </c>
      <c r="J1132" s="8">
        <v>97.28</v>
      </c>
      <c r="L1132" s="8">
        <v>98.53</v>
      </c>
      <c r="N1132" s="8">
        <v>100.43</v>
      </c>
    </row>
    <row r="1133" spans="1:14" x14ac:dyDescent="0.35">
      <c r="A1133" s="7">
        <v>44597</v>
      </c>
      <c r="H1133" s="8">
        <v>96.09</v>
      </c>
      <c r="J1133" s="8">
        <v>97.28</v>
      </c>
      <c r="L1133" s="8">
        <v>98.53</v>
      </c>
      <c r="N1133" s="8">
        <v>100.43</v>
      </c>
    </row>
    <row r="1134" spans="1:14" x14ac:dyDescent="0.35">
      <c r="A1134" s="7">
        <v>44598</v>
      </c>
      <c r="H1134" s="8">
        <v>96.09</v>
      </c>
      <c r="J1134" s="8">
        <v>97.28</v>
      </c>
      <c r="L1134" s="8">
        <v>98.53</v>
      </c>
      <c r="N1134" s="8">
        <v>100.43</v>
      </c>
    </row>
    <row r="1135" spans="1:14" x14ac:dyDescent="0.35">
      <c r="A1135" s="7">
        <v>44599</v>
      </c>
      <c r="H1135" s="8">
        <v>95.37</v>
      </c>
      <c r="J1135" s="8">
        <v>96.77</v>
      </c>
      <c r="L1135" s="8">
        <v>98.31</v>
      </c>
      <c r="N1135" s="8">
        <v>100.72</v>
      </c>
    </row>
    <row r="1136" spans="1:14" x14ac:dyDescent="0.35">
      <c r="A1136" s="7">
        <v>44600</v>
      </c>
      <c r="H1136" s="8">
        <v>97.48</v>
      </c>
      <c r="J1136" s="8">
        <v>99.12</v>
      </c>
      <c r="L1136" s="8">
        <v>101.16</v>
      </c>
      <c r="N1136" s="8">
        <v>103.65</v>
      </c>
    </row>
    <row r="1137" spans="1:14" x14ac:dyDescent="0.35">
      <c r="A1137" s="7">
        <v>44601</v>
      </c>
      <c r="H1137" s="8">
        <v>94.28</v>
      </c>
      <c r="J1137" s="8">
        <v>96.32</v>
      </c>
      <c r="L1137" s="8">
        <v>98.79</v>
      </c>
      <c r="N1137" s="8">
        <v>100.45</v>
      </c>
    </row>
    <row r="1138" spans="1:14" x14ac:dyDescent="0.35">
      <c r="A1138" s="7">
        <v>44602</v>
      </c>
      <c r="H1138" s="8">
        <v>90.98</v>
      </c>
      <c r="J1138" s="8">
        <v>92.8</v>
      </c>
      <c r="L1138" s="8">
        <v>94.3</v>
      </c>
      <c r="N1138" s="8">
        <v>97.07</v>
      </c>
    </row>
    <row r="1139" spans="1:14" x14ac:dyDescent="0.35">
      <c r="A1139" s="7">
        <v>44603</v>
      </c>
      <c r="H1139" s="8">
        <v>91.08</v>
      </c>
      <c r="J1139" s="8">
        <v>92.49</v>
      </c>
      <c r="L1139" s="8">
        <v>95.06</v>
      </c>
      <c r="N1139" s="8">
        <v>98.01</v>
      </c>
    </row>
    <row r="1140" spans="1:14" x14ac:dyDescent="0.35">
      <c r="A1140" s="7">
        <v>44604</v>
      </c>
      <c r="H1140" s="8">
        <v>91.08</v>
      </c>
      <c r="J1140" s="8">
        <v>92.49</v>
      </c>
      <c r="L1140" s="8">
        <v>95.06</v>
      </c>
      <c r="N1140" s="8">
        <v>98.01</v>
      </c>
    </row>
    <row r="1141" spans="1:14" x14ac:dyDescent="0.35">
      <c r="A1141" s="7">
        <v>44605</v>
      </c>
      <c r="H1141" s="8">
        <v>91.08</v>
      </c>
      <c r="J1141" s="8">
        <v>92.49</v>
      </c>
      <c r="L1141" s="8">
        <v>95.06</v>
      </c>
      <c r="N1141" s="8">
        <v>98.01</v>
      </c>
    </row>
    <row r="1142" spans="1:14" x14ac:dyDescent="0.35">
      <c r="A1142" s="7">
        <v>44606</v>
      </c>
      <c r="H1142" s="8">
        <v>91.42</v>
      </c>
      <c r="J1142" s="8">
        <v>93.2</v>
      </c>
      <c r="L1142" s="8">
        <v>94.75</v>
      </c>
      <c r="N1142" s="8">
        <v>97.73</v>
      </c>
    </row>
    <row r="1143" spans="1:14" x14ac:dyDescent="0.35">
      <c r="A1143" s="7">
        <v>44607</v>
      </c>
      <c r="H1143" s="8">
        <v>91.24</v>
      </c>
      <c r="J1143" s="8">
        <v>92.71</v>
      </c>
      <c r="L1143" s="8">
        <v>94.91</v>
      </c>
      <c r="N1143" s="8">
        <v>98.12</v>
      </c>
    </row>
    <row r="1144" spans="1:14" x14ac:dyDescent="0.35">
      <c r="A1144" s="7">
        <v>44608</v>
      </c>
      <c r="H1144" s="8">
        <v>89.36</v>
      </c>
      <c r="J1144" s="8">
        <v>90.95</v>
      </c>
      <c r="L1144" s="8">
        <v>93.19</v>
      </c>
      <c r="N1144" s="8">
        <v>96.31</v>
      </c>
    </row>
    <row r="1145" spans="1:14" x14ac:dyDescent="0.35">
      <c r="A1145" s="7">
        <v>44609</v>
      </c>
      <c r="H1145" s="8">
        <v>87.41</v>
      </c>
      <c r="J1145" s="8">
        <v>89.47</v>
      </c>
      <c r="L1145" s="8">
        <v>90.48</v>
      </c>
      <c r="N1145" s="8">
        <v>95.68</v>
      </c>
    </row>
    <row r="1146" spans="1:14" x14ac:dyDescent="0.35">
      <c r="A1146" s="7">
        <v>44610</v>
      </c>
      <c r="H1146" s="8">
        <v>88.28</v>
      </c>
      <c r="J1146" s="8">
        <v>89.56</v>
      </c>
      <c r="L1146" s="8">
        <v>91.85</v>
      </c>
      <c r="N1146" s="8">
        <v>94.6</v>
      </c>
    </row>
    <row r="1147" spans="1:14" x14ac:dyDescent="0.35">
      <c r="A1147" s="7">
        <v>44611</v>
      </c>
      <c r="H1147" s="8">
        <v>88.28</v>
      </c>
      <c r="J1147" s="8">
        <v>89.56</v>
      </c>
      <c r="L1147" s="8">
        <v>91.85</v>
      </c>
      <c r="N1147" s="8">
        <v>94.6</v>
      </c>
    </row>
    <row r="1148" spans="1:14" x14ac:dyDescent="0.35">
      <c r="A1148" s="7">
        <v>44612</v>
      </c>
      <c r="H1148" s="8">
        <v>88.28</v>
      </c>
      <c r="J1148" s="8">
        <v>89.56</v>
      </c>
      <c r="L1148" s="8">
        <v>91.85</v>
      </c>
      <c r="N1148" s="8">
        <v>94.6</v>
      </c>
    </row>
    <row r="1149" spans="1:14" x14ac:dyDescent="0.35">
      <c r="A1149" s="7">
        <v>44613</v>
      </c>
      <c r="H1149" s="8">
        <v>89.55</v>
      </c>
      <c r="J1149" s="8">
        <v>90.84</v>
      </c>
      <c r="L1149" s="8">
        <v>93.1</v>
      </c>
      <c r="N1149" s="11">
        <v>96.07</v>
      </c>
    </row>
    <row r="1150" spans="1:14" x14ac:dyDescent="0.35">
      <c r="A1150" s="7">
        <v>44614</v>
      </c>
      <c r="H1150" s="8">
        <v>89.19</v>
      </c>
      <c r="J1150" s="8">
        <v>90.72</v>
      </c>
      <c r="L1150" s="8">
        <v>92.91</v>
      </c>
      <c r="N1150" s="8">
        <v>95.94</v>
      </c>
    </row>
    <row r="1151" spans="1:14" x14ac:dyDescent="0.35">
      <c r="A1151" s="7">
        <v>44615</v>
      </c>
      <c r="H1151" s="8">
        <v>93.49</v>
      </c>
      <c r="J1151" s="8">
        <v>95.31</v>
      </c>
      <c r="L1151" s="8">
        <v>97.89</v>
      </c>
      <c r="N1151" s="8">
        <v>100.78</v>
      </c>
    </row>
    <row r="1152" spans="1:14" x14ac:dyDescent="0.35">
      <c r="A1152" s="7">
        <v>44616</v>
      </c>
      <c r="H1152" s="8">
        <v>88.77</v>
      </c>
      <c r="J1152" s="8">
        <v>89.39</v>
      </c>
      <c r="L1152" s="8">
        <v>91.5</v>
      </c>
      <c r="N1152" s="8">
        <v>93.95</v>
      </c>
    </row>
    <row r="1153" spans="1:14" x14ac:dyDescent="0.35">
      <c r="A1153" s="7">
        <v>44617</v>
      </c>
      <c r="H1153" s="8">
        <v>88.19</v>
      </c>
      <c r="J1153" s="8">
        <v>89.66</v>
      </c>
      <c r="L1153" s="8">
        <v>91.69</v>
      </c>
      <c r="N1153" s="8">
        <v>93.8</v>
      </c>
    </row>
    <row r="1154" spans="1:14" x14ac:dyDescent="0.35">
      <c r="A1154" s="7">
        <v>44618</v>
      </c>
      <c r="H1154" s="8">
        <v>88.19</v>
      </c>
      <c r="J1154" s="8">
        <v>89.66</v>
      </c>
      <c r="L1154" s="8">
        <v>91.69</v>
      </c>
      <c r="N1154" s="8">
        <v>93.8</v>
      </c>
    </row>
    <row r="1155" spans="1:14" x14ac:dyDescent="0.35">
      <c r="A1155" s="7">
        <v>44619</v>
      </c>
      <c r="H1155" s="8">
        <v>88.19</v>
      </c>
      <c r="J1155" s="8">
        <v>89.66</v>
      </c>
      <c r="L1155" s="8">
        <v>91.69</v>
      </c>
      <c r="N1155" s="8">
        <v>93.8</v>
      </c>
    </row>
    <row r="1156" spans="1:14" x14ac:dyDescent="0.35">
      <c r="A1156" s="7">
        <v>44620</v>
      </c>
      <c r="H1156" s="8">
        <v>83.05</v>
      </c>
      <c r="J1156" s="8">
        <v>84.82</v>
      </c>
      <c r="L1156" s="8">
        <v>87.63</v>
      </c>
      <c r="N1156" s="8">
        <v>88.34</v>
      </c>
    </row>
    <row r="1157" spans="1:14" x14ac:dyDescent="0.35">
      <c r="A1157" s="7">
        <v>44621</v>
      </c>
      <c r="H1157" s="8">
        <v>74.55</v>
      </c>
      <c r="J1157" s="8">
        <v>76.06</v>
      </c>
      <c r="L1157" s="8">
        <v>79.91</v>
      </c>
      <c r="N1157" s="8">
        <v>80.19</v>
      </c>
    </row>
    <row r="1158" spans="1:14" x14ac:dyDescent="0.35">
      <c r="A1158" s="7">
        <v>44622</v>
      </c>
      <c r="H1158" s="8">
        <v>63.82</v>
      </c>
      <c r="J1158" s="8">
        <v>67.02</v>
      </c>
      <c r="L1158" s="8">
        <v>67.739999999999995</v>
      </c>
      <c r="N1158" s="8">
        <v>66.64</v>
      </c>
    </row>
    <row r="1159" spans="1:14" x14ac:dyDescent="0.35">
      <c r="A1159" s="7">
        <v>44623</v>
      </c>
      <c r="H1159" s="8">
        <v>65.89</v>
      </c>
      <c r="J1159" s="8">
        <v>67.569999999999993</v>
      </c>
      <c r="L1159" s="8">
        <v>69.400000000000006</v>
      </c>
      <c r="N1159" s="8">
        <v>71.010000000000005</v>
      </c>
    </row>
    <row r="1160" spans="1:14" x14ac:dyDescent="0.35">
      <c r="A1160" s="7">
        <v>44624</v>
      </c>
      <c r="H1160" s="8">
        <v>66.94</v>
      </c>
      <c r="J1160" s="8">
        <v>68.849999999999994</v>
      </c>
      <c r="L1160" s="8">
        <v>70.23</v>
      </c>
      <c r="N1160" s="8">
        <v>72.87</v>
      </c>
    </row>
    <row r="1161" spans="1:14" x14ac:dyDescent="0.35">
      <c r="A1161" s="7">
        <v>44625</v>
      </c>
      <c r="H1161" s="8">
        <v>66.94</v>
      </c>
      <c r="J1161" s="8">
        <v>68.849999999999994</v>
      </c>
      <c r="L1161" s="8">
        <v>70.23</v>
      </c>
      <c r="N1161" s="8">
        <v>72.87</v>
      </c>
    </row>
    <row r="1162" spans="1:14" x14ac:dyDescent="0.35">
      <c r="A1162" s="7">
        <v>44626</v>
      </c>
      <c r="H1162" s="8">
        <v>66.94</v>
      </c>
      <c r="J1162" s="8">
        <v>68.849999999999994</v>
      </c>
      <c r="L1162" s="8">
        <v>70.23</v>
      </c>
      <c r="N1162" s="8">
        <v>72.87</v>
      </c>
    </row>
    <row r="1163" spans="1:14" x14ac:dyDescent="0.35">
      <c r="A1163" s="7">
        <v>44627</v>
      </c>
      <c r="H1163" s="8">
        <v>58.95</v>
      </c>
      <c r="J1163" s="8">
        <v>60.13</v>
      </c>
      <c r="L1163" s="8">
        <v>62.59</v>
      </c>
      <c r="N1163" s="8">
        <v>64.41</v>
      </c>
    </row>
    <row r="1164" spans="1:14" x14ac:dyDescent="0.35">
      <c r="A1164" s="7">
        <v>44628</v>
      </c>
      <c r="H1164" s="8">
        <v>64.040000000000006</v>
      </c>
      <c r="J1164" s="8">
        <v>66.09</v>
      </c>
      <c r="L1164" s="8">
        <v>66.77</v>
      </c>
      <c r="N1164" s="8">
        <v>69.48</v>
      </c>
    </row>
    <row r="1165" spans="1:14" x14ac:dyDescent="0.35">
      <c r="A1165" s="7">
        <v>44629</v>
      </c>
      <c r="H1165" s="8">
        <v>71.98</v>
      </c>
      <c r="J1165" s="8">
        <v>73.83</v>
      </c>
      <c r="L1165" s="8">
        <v>75.06</v>
      </c>
      <c r="N1165" s="8">
        <v>78.92</v>
      </c>
    </row>
    <row r="1166" spans="1:14" x14ac:dyDescent="0.35">
      <c r="A1166" s="7">
        <v>44630</v>
      </c>
      <c r="H1166" s="8">
        <v>73.760000000000005</v>
      </c>
      <c r="J1166" s="8">
        <v>75.66</v>
      </c>
      <c r="L1166" s="8">
        <v>77.69</v>
      </c>
      <c r="N1166" s="8">
        <v>81.52</v>
      </c>
    </row>
    <row r="1167" spans="1:14" x14ac:dyDescent="0.35">
      <c r="A1167" s="7">
        <v>44631</v>
      </c>
      <c r="H1167" s="8">
        <v>76.72</v>
      </c>
      <c r="J1167" s="8">
        <v>78.34</v>
      </c>
      <c r="L1167" s="8">
        <v>80.290000000000006</v>
      </c>
      <c r="N1167" s="8">
        <v>83.12</v>
      </c>
    </row>
    <row r="1168" spans="1:14" x14ac:dyDescent="0.35">
      <c r="A1168" s="7">
        <v>44632</v>
      </c>
      <c r="H1168" s="8">
        <v>76.72</v>
      </c>
      <c r="J1168" s="8">
        <v>78.34</v>
      </c>
      <c r="L1168" s="8">
        <v>80.290000000000006</v>
      </c>
      <c r="N1168" s="8">
        <v>83.12</v>
      </c>
    </row>
    <row r="1169" spans="1:14" x14ac:dyDescent="0.35">
      <c r="A1169" s="7">
        <v>44633</v>
      </c>
      <c r="H1169" s="8">
        <v>76.72</v>
      </c>
      <c r="J1169" s="8">
        <v>78.34</v>
      </c>
      <c r="L1169" s="8">
        <v>80.290000000000006</v>
      </c>
      <c r="N1169" s="8">
        <v>83.12</v>
      </c>
    </row>
    <row r="1170" spans="1:14" x14ac:dyDescent="0.35">
      <c r="A1170" s="7">
        <v>44634</v>
      </c>
      <c r="H1170" s="8">
        <v>78.98</v>
      </c>
      <c r="J1170" s="8">
        <v>80.19</v>
      </c>
      <c r="L1170" s="8">
        <v>82.77</v>
      </c>
      <c r="N1170" s="8">
        <v>84.78</v>
      </c>
    </row>
    <row r="1171" spans="1:14" x14ac:dyDescent="0.35">
      <c r="A1171" s="7">
        <v>44635</v>
      </c>
      <c r="H1171" s="8">
        <v>76.819999999999993</v>
      </c>
      <c r="J1171" s="8">
        <v>78.17</v>
      </c>
      <c r="L1171" s="8">
        <v>79.78</v>
      </c>
      <c r="N1171" s="8">
        <v>83.37</v>
      </c>
    </row>
    <row r="1172" spans="1:14" x14ac:dyDescent="0.35">
      <c r="A1172" s="7">
        <v>44636</v>
      </c>
      <c r="H1172" s="8">
        <v>77.319999999999993</v>
      </c>
      <c r="J1172" s="8">
        <v>78.400000000000006</v>
      </c>
      <c r="L1172" s="8">
        <v>80.13</v>
      </c>
      <c r="N1172" s="11">
        <v>84.2</v>
      </c>
    </row>
    <row r="1173" spans="1:14" x14ac:dyDescent="0.35">
      <c r="A1173" s="7">
        <v>44637</v>
      </c>
      <c r="H1173" s="8">
        <v>78.69</v>
      </c>
      <c r="J1173" s="8">
        <v>79.92</v>
      </c>
      <c r="L1173" s="8">
        <v>80.63</v>
      </c>
      <c r="N1173" s="8">
        <v>86.03</v>
      </c>
    </row>
    <row r="1174" spans="1:14" x14ac:dyDescent="0.35">
      <c r="A1174" s="7">
        <v>44638</v>
      </c>
      <c r="H1174" s="8">
        <v>79.42</v>
      </c>
      <c r="J1174" s="8">
        <v>80.77</v>
      </c>
      <c r="L1174" s="8">
        <v>83.29</v>
      </c>
      <c r="N1174" s="11">
        <v>84.99</v>
      </c>
    </row>
    <row r="1175" spans="1:14" x14ac:dyDescent="0.35">
      <c r="A1175" s="7">
        <v>44639</v>
      </c>
      <c r="H1175" s="8">
        <v>79.42</v>
      </c>
      <c r="J1175" s="8">
        <v>80.77</v>
      </c>
      <c r="L1175" s="8">
        <v>83.29</v>
      </c>
      <c r="N1175" s="11">
        <v>84.99</v>
      </c>
    </row>
    <row r="1176" spans="1:14" x14ac:dyDescent="0.35">
      <c r="A1176" s="7">
        <v>44640</v>
      </c>
      <c r="H1176" s="8">
        <v>79.42</v>
      </c>
      <c r="J1176" s="8">
        <v>80.77</v>
      </c>
      <c r="L1176" s="8">
        <v>83.29</v>
      </c>
      <c r="N1176" s="11">
        <v>84.99</v>
      </c>
    </row>
    <row r="1177" spans="1:14" x14ac:dyDescent="0.35">
      <c r="A1177" s="7">
        <v>44641</v>
      </c>
      <c r="H1177" s="8">
        <v>78.510000000000005</v>
      </c>
      <c r="J1177" s="8">
        <v>79.819999999999993</v>
      </c>
      <c r="L1177" s="8">
        <v>81.88</v>
      </c>
      <c r="N1177" s="8">
        <v>84.4</v>
      </c>
    </row>
    <row r="1178" spans="1:14" x14ac:dyDescent="0.35">
      <c r="A1178" s="7">
        <v>44642</v>
      </c>
      <c r="H1178" s="8">
        <v>80.17</v>
      </c>
      <c r="J1178" s="8">
        <v>81.73</v>
      </c>
      <c r="L1178" s="8">
        <v>84.22</v>
      </c>
      <c r="N1178" s="8">
        <v>86.96</v>
      </c>
    </row>
    <row r="1179" spans="1:14" x14ac:dyDescent="0.35">
      <c r="A1179" s="7">
        <v>44643</v>
      </c>
      <c r="H1179" s="8">
        <v>78.83</v>
      </c>
      <c r="J1179" s="8">
        <v>79.61</v>
      </c>
      <c r="L1179" s="8">
        <v>82.5</v>
      </c>
      <c r="N1179" s="8">
        <v>84.84</v>
      </c>
    </row>
    <row r="1180" spans="1:14" x14ac:dyDescent="0.35">
      <c r="A1180" s="7">
        <v>44644</v>
      </c>
      <c r="H1180" s="8">
        <v>77.05</v>
      </c>
      <c r="J1180" s="8">
        <v>78.59</v>
      </c>
      <c r="L1180" s="8">
        <v>80.540000000000006</v>
      </c>
      <c r="N1180" s="8">
        <v>83.1</v>
      </c>
    </row>
    <row r="1181" spans="1:14" x14ac:dyDescent="0.35">
      <c r="A1181" s="7">
        <v>44645</v>
      </c>
      <c r="H1181" s="8">
        <v>78.27</v>
      </c>
      <c r="J1181" s="8">
        <v>79.709999999999994</v>
      </c>
      <c r="L1181" s="8">
        <v>81.849999999999994</v>
      </c>
      <c r="N1181" s="8">
        <v>84.72</v>
      </c>
    </row>
    <row r="1182" spans="1:14" x14ac:dyDescent="0.35">
      <c r="A1182" s="7">
        <v>44646</v>
      </c>
      <c r="H1182" s="8">
        <v>78.27</v>
      </c>
      <c r="J1182" s="8">
        <v>79.709999999999994</v>
      </c>
      <c r="L1182" s="8">
        <v>81.849999999999994</v>
      </c>
      <c r="N1182" s="8">
        <v>84.72</v>
      </c>
    </row>
    <row r="1183" spans="1:14" x14ac:dyDescent="0.35">
      <c r="A1183" s="7">
        <v>44647</v>
      </c>
      <c r="H1183" s="8">
        <v>78.27</v>
      </c>
      <c r="J1183" s="8">
        <v>79.709999999999994</v>
      </c>
      <c r="L1183" s="8">
        <v>81.849999999999994</v>
      </c>
      <c r="N1183" s="8">
        <v>84.72</v>
      </c>
    </row>
    <row r="1184" spans="1:14" x14ac:dyDescent="0.35">
      <c r="A1184" s="7">
        <v>44648</v>
      </c>
      <c r="H1184" s="8">
        <v>80.569999999999993</v>
      </c>
      <c r="J1184" s="8">
        <v>82.27</v>
      </c>
      <c r="L1184" s="8">
        <v>84.63</v>
      </c>
      <c r="N1184" s="8">
        <v>87.12</v>
      </c>
    </row>
    <row r="1185" spans="1:14" x14ac:dyDescent="0.35">
      <c r="A1185" s="7">
        <v>44649</v>
      </c>
      <c r="H1185" s="8">
        <v>81.11</v>
      </c>
      <c r="J1185" s="8">
        <v>82.64</v>
      </c>
      <c r="L1185" s="8">
        <v>85.24</v>
      </c>
      <c r="N1185" s="8">
        <v>87.66</v>
      </c>
    </row>
    <row r="1186" spans="1:14" x14ac:dyDescent="0.35">
      <c r="A1186" s="7">
        <v>44650</v>
      </c>
      <c r="H1186" s="8">
        <v>78.58</v>
      </c>
      <c r="J1186" s="8">
        <v>80.16</v>
      </c>
      <c r="L1186" s="8">
        <v>82.16</v>
      </c>
      <c r="N1186" s="8">
        <v>84.71</v>
      </c>
    </row>
    <row r="1187" spans="1:14" x14ac:dyDescent="0.35">
      <c r="A1187" s="7">
        <v>44651</v>
      </c>
      <c r="H1187" s="8">
        <v>77.959999999999994</v>
      </c>
      <c r="J1187" s="8">
        <v>79.28</v>
      </c>
      <c r="L1187" s="8">
        <v>81.52</v>
      </c>
      <c r="N1187" s="8">
        <v>83.09</v>
      </c>
    </row>
    <row r="1188" spans="1:14" x14ac:dyDescent="0.35">
      <c r="A1188" s="7">
        <v>44652</v>
      </c>
      <c r="H1188" s="8">
        <v>78.569999999999993</v>
      </c>
      <c r="J1188" s="8">
        <v>80.23</v>
      </c>
      <c r="L1188" s="8">
        <v>82.34</v>
      </c>
      <c r="N1188" s="11">
        <v>85</v>
      </c>
    </row>
    <row r="1189" spans="1:14" x14ac:dyDescent="0.35">
      <c r="A1189" s="7">
        <v>44653</v>
      </c>
      <c r="H1189" s="8">
        <v>78.569999999999993</v>
      </c>
      <c r="J1189" s="8">
        <v>80.23</v>
      </c>
      <c r="L1189" s="8">
        <v>82.34</v>
      </c>
      <c r="N1189" s="11">
        <v>85</v>
      </c>
    </row>
    <row r="1190" spans="1:14" x14ac:dyDescent="0.35">
      <c r="A1190" s="7">
        <v>44654</v>
      </c>
      <c r="H1190" s="8">
        <v>78.569999999999993</v>
      </c>
      <c r="J1190" s="8">
        <v>80.23</v>
      </c>
      <c r="L1190" s="8">
        <v>82.34</v>
      </c>
      <c r="N1190" s="11">
        <v>85</v>
      </c>
    </row>
    <row r="1191" spans="1:14" x14ac:dyDescent="0.35">
      <c r="A1191" s="7">
        <v>44655</v>
      </c>
      <c r="H1191" s="8">
        <v>78.209999999999994</v>
      </c>
      <c r="J1191" s="8">
        <v>80.209999999999994</v>
      </c>
      <c r="L1191" s="8">
        <v>82.68</v>
      </c>
      <c r="N1191" s="8">
        <v>85.01</v>
      </c>
    </row>
    <row r="1192" spans="1:14" x14ac:dyDescent="0.35">
      <c r="A1192" s="7">
        <v>44656</v>
      </c>
      <c r="H1192" s="8">
        <v>78.11</v>
      </c>
      <c r="J1192" s="8">
        <v>79.959999999999994</v>
      </c>
      <c r="L1192" s="8">
        <v>82.28</v>
      </c>
      <c r="N1192" s="8">
        <v>84.81</v>
      </c>
    </row>
    <row r="1193" spans="1:14" x14ac:dyDescent="0.35">
      <c r="A1193" s="7">
        <v>44657</v>
      </c>
      <c r="H1193" s="8">
        <v>77.989999999999995</v>
      </c>
      <c r="J1193" s="8">
        <v>80.28</v>
      </c>
      <c r="L1193" s="8">
        <v>83.13</v>
      </c>
      <c r="N1193" s="8">
        <v>84.71</v>
      </c>
    </row>
    <row r="1194" spans="1:14" x14ac:dyDescent="0.35">
      <c r="A1194" s="7">
        <v>44658</v>
      </c>
      <c r="H1194" s="8">
        <v>78.400000000000006</v>
      </c>
      <c r="J1194" s="8">
        <v>80.510000000000005</v>
      </c>
      <c r="L1194" s="8">
        <v>83.05</v>
      </c>
      <c r="N1194" s="8">
        <v>85.96</v>
      </c>
    </row>
    <row r="1195" spans="1:14" x14ac:dyDescent="0.35">
      <c r="A1195" s="7">
        <v>44659</v>
      </c>
      <c r="H1195" s="8">
        <v>80.239999999999995</v>
      </c>
      <c r="J1195" s="8">
        <v>82.22</v>
      </c>
      <c r="L1195" s="8">
        <v>84.49</v>
      </c>
      <c r="N1195" s="8">
        <v>87.12</v>
      </c>
    </row>
    <row r="1196" spans="1:14" x14ac:dyDescent="0.35">
      <c r="A1196" s="7">
        <v>44660</v>
      </c>
      <c r="H1196" s="8">
        <v>80.239999999999995</v>
      </c>
      <c r="J1196" s="8">
        <v>82.22</v>
      </c>
      <c r="L1196" s="8">
        <v>84.49</v>
      </c>
      <c r="N1196" s="8">
        <v>87.12</v>
      </c>
    </row>
    <row r="1197" spans="1:14" x14ac:dyDescent="0.35">
      <c r="A1197" s="7">
        <v>44661</v>
      </c>
      <c r="H1197" s="8">
        <v>80.239999999999995</v>
      </c>
      <c r="J1197" s="8">
        <v>82.22</v>
      </c>
      <c r="L1197" s="8">
        <v>84.49</v>
      </c>
      <c r="N1197" s="8">
        <v>87.12</v>
      </c>
    </row>
    <row r="1198" spans="1:14" x14ac:dyDescent="0.35">
      <c r="A1198" s="7">
        <v>44662</v>
      </c>
      <c r="H1198" s="8">
        <v>78.37</v>
      </c>
      <c r="J1198" s="8">
        <v>80.13</v>
      </c>
      <c r="L1198" s="8">
        <v>82.35</v>
      </c>
      <c r="N1198" s="8">
        <v>85.21</v>
      </c>
    </row>
    <row r="1199" spans="1:14" x14ac:dyDescent="0.35">
      <c r="A1199" s="7">
        <v>44663</v>
      </c>
      <c r="H1199" s="8">
        <v>78.02</v>
      </c>
      <c r="J1199" s="8">
        <v>80.239999999999995</v>
      </c>
      <c r="L1199" s="8">
        <v>83.1</v>
      </c>
      <c r="N1199" s="8">
        <v>85.22</v>
      </c>
    </row>
    <row r="1200" spans="1:14" x14ac:dyDescent="0.35">
      <c r="A1200" s="7">
        <v>44664</v>
      </c>
      <c r="H1200" s="8">
        <v>77.62</v>
      </c>
      <c r="J1200" s="8">
        <v>79.680000000000007</v>
      </c>
      <c r="L1200" s="8">
        <v>82</v>
      </c>
      <c r="N1200" s="8">
        <v>84.66</v>
      </c>
    </row>
    <row r="1201" spans="1:14" x14ac:dyDescent="0.35">
      <c r="A1201" s="7">
        <v>44665</v>
      </c>
      <c r="H1201" s="16">
        <v>79.36</v>
      </c>
      <c r="I1201" s="17"/>
      <c r="J1201" s="17">
        <v>81.73</v>
      </c>
      <c r="K1201" s="17"/>
      <c r="L1201" s="17">
        <v>84.19</v>
      </c>
      <c r="M1201" s="17"/>
      <c r="N1201" s="18">
        <v>86.51</v>
      </c>
    </row>
    <row r="1202" spans="1:14" x14ac:dyDescent="0.35">
      <c r="A1202" s="7">
        <v>44666</v>
      </c>
      <c r="H1202" s="19">
        <v>79.36</v>
      </c>
      <c r="J1202" s="8">
        <v>81.73</v>
      </c>
      <c r="L1202" s="8">
        <v>84.19</v>
      </c>
      <c r="N1202" s="20">
        <v>86.51</v>
      </c>
    </row>
    <row r="1203" spans="1:14" x14ac:dyDescent="0.35">
      <c r="A1203" s="7">
        <v>44667</v>
      </c>
      <c r="H1203" s="19">
        <v>79.36</v>
      </c>
      <c r="J1203" s="8">
        <v>81.73</v>
      </c>
      <c r="L1203" s="8">
        <v>84.19</v>
      </c>
      <c r="N1203" s="20">
        <v>86.51</v>
      </c>
    </row>
    <row r="1204" spans="1:14" x14ac:dyDescent="0.35">
      <c r="A1204" s="7">
        <v>44668</v>
      </c>
      <c r="H1204" s="19">
        <v>79.36</v>
      </c>
      <c r="J1204" s="8">
        <v>81.73</v>
      </c>
      <c r="L1204" s="8">
        <v>84.19</v>
      </c>
      <c r="N1204" s="20">
        <v>86.51</v>
      </c>
    </row>
    <row r="1205" spans="1:14" x14ac:dyDescent="0.35">
      <c r="A1205" s="7">
        <v>44669</v>
      </c>
      <c r="H1205" s="21">
        <v>79.36</v>
      </c>
      <c r="I1205" s="22"/>
      <c r="J1205" s="22">
        <v>81.73</v>
      </c>
      <c r="K1205" s="22"/>
      <c r="L1205" s="22">
        <v>84.19</v>
      </c>
      <c r="M1205" s="22"/>
      <c r="N1205" s="23">
        <v>86.51</v>
      </c>
    </row>
    <row r="1206" spans="1:14" x14ac:dyDescent="0.35">
      <c r="A1206" s="7">
        <v>44670</v>
      </c>
      <c r="H1206" s="8">
        <v>80.13</v>
      </c>
      <c r="J1206" s="8">
        <v>82.41</v>
      </c>
      <c r="L1206" s="8">
        <v>84.88</v>
      </c>
      <c r="N1206" s="8">
        <v>87.38</v>
      </c>
    </row>
    <row r="1207" spans="1:14" x14ac:dyDescent="0.35">
      <c r="A1207" s="7">
        <v>44671</v>
      </c>
      <c r="H1207" s="8">
        <v>85.08</v>
      </c>
      <c r="J1207" s="8">
        <v>88.01</v>
      </c>
      <c r="L1207" s="8">
        <v>89.58</v>
      </c>
      <c r="N1207" s="8">
        <v>92.08</v>
      </c>
    </row>
    <row r="1208" spans="1:14" x14ac:dyDescent="0.35">
      <c r="A1208" s="7">
        <v>44672</v>
      </c>
      <c r="H1208" s="8">
        <v>86.56</v>
      </c>
      <c r="J1208" s="8">
        <v>88.84</v>
      </c>
      <c r="L1208" s="8">
        <v>91.59</v>
      </c>
      <c r="N1208" s="8">
        <v>93.92</v>
      </c>
    </row>
    <row r="1209" spans="1:14" x14ac:dyDescent="0.35">
      <c r="A1209" s="7">
        <v>44673</v>
      </c>
      <c r="H1209" s="8">
        <v>88.45</v>
      </c>
      <c r="J1209" s="8">
        <v>91.01</v>
      </c>
      <c r="L1209" s="8">
        <v>94.16</v>
      </c>
      <c r="N1209" s="8">
        <v>97.13</v>
      </c>
    </row>
    <row r="1210" spans="1:14" x14ac:dyDescent="0.35">
      <c r="A1210" s="7">
        <v>44674</v>
      </c>
      <c r="H1210" s="8">
        <v>88.45</v>
      </c>
      <c r="J1210" s="8">
        <v>91.01</v>
      </c>
      <c r="L1210" s="8">
        <v>94.16</v>
      </c>
      <c r="N1210" s="8">
        <v>97.13</v>
      </c>
    </row>
    <row r="1211" spans="1:14" x14ac:dyDescent="0.35">
      <c r="A1211" s="7">
        <v>44675</v>
      </c>
      <c r="H1211" s="8">
        <v>88.45</v>
      </c>
      <c r="J1211" s="8">
        <v>91.01</v>
      </c>
      <c r="L1211" s="8">
        <v>94.16</v>
      </c>
      <c r="N1211" s="8">
        <v>97.13</v>
      </c>
    </row>
    <row r="1212" spans="1:14" x14ac:dyDescent="0.35">
      <c r="A1212" s="7">
        <v>44676</v>
      </c>
      <c r="H1212" s="8">
        <v>84.74</v>
      </c>
      <c r="J1212" s="8">
        <v>86.75</v>
      </c>
      <c r="L1212" s="8">
        <v>89.54</v>
      </c>
      <c r="N1212" s="8">
        <v>93.25</v>
      </c>
    </row>
    <row r="1213" spans="1:14" x14ac:dyDescent="0.35">
      <c r="A1213" s="7">
        <v>44677</v>
      </c>
      <c r="H1213" s="8">
        <v>83.84</v>
      </c>
      <c r="J1213" s="8">
        <v>86.2</v>
      </c>
      <c r="L1213" s="8">
        <v>88.62</v>
      </c>
      <c r="N1213" s="8">
        <v>92.3</v>
      </c>
    </row>
    <row r="1214" spans="1:14" x14ac:dyDescent="0.35">
      <c r="A1214" s="7">
        <v>44678</v>
      </c>
      <c r="H1214" s="8">
        <v>80.73</v>
      </c>
      <c r="J1214" s="8">
        <v>83.07</v>
      </c>
      <c r="L1214" s="8">
        <v>85.97</v>
      </c>
      <c r="N1214" s="8">
        <v>89.38</v>
      </c>
    </row>
    <row r="1215" spans="1:14" x14ac:dyDescent="0.35">
      <c r="A1215" s="7">
        <v>44679</v>
      </c>
      <c r="H1215" s="8">
        <v>81.459999999999994</v>
      </c>
      <c r="J1215" s="8">
        <v>83.65</v>
      </c>
      <c r="L1215" s="8">
        <v>86.09</v>
      </c>
      <c r="N1215" s="8">
        <v>88.9</v>
      </c>
    </row>
    <row r="1216" spans="1:14" x14ac:dyDescent="0.35">
      <c r="A1216" s="7">
        <v>44680</v>
      </c>
      <c r="H1216" s="8">
        <v>83.97</v>
      </c>
      <c r="J1216" s="8">
        <v>86.45</v>
      </c>
      <c r="L1216" s="8">
        <v>88.81</v>
      </c>
      <c r="N1216" s="8">
        <v>92.47</v>
      </c>
    </row>
    <row r="1217" spans="1:14" x14ac:dyDescent="0.35">
      <c r="A1217" s="7">
        <v>44681</v>
      </c>
      <c r="H1217" s="8">
        <v>83.97</v>
      </c>
      <c r="J1217" s="8">
        <v>86.45</v>
      </c>
      <c r="L1217" s="8">
        <v>88.81</v>
      </c>
      <c r="N1217" s="8">
        <v>92.47</v>
      </c>
    </row>
    <row r="1218" spans="1:14" x14ac:dyDescent="0.35">
      <c r="A1218" s="7">
        <v>44682</v>
      </c>
      <c r="H1218" s="8">
        <v>83.97</v>
      </c>
      <c r="J1218" s="8">
        <v>86.45</v>
      </c>
      <c r="L1218" s="8">
        <v>88.81</v>
      </c>
      <c r="N1218" s="8">
        <v>92.47</v>
      </c>
    </row>
    <row r="1219" spans="1:14" x14ac:dyDescent="0.35">
      <c r="A1219" s="7">
        <v>44683</v>
      </c>
      <c r="H1219" s="8">
        <v>86.8</v>
      </c>
      <c r="J1219" s="8">
        <v>86.36</v>
      </c>
      <c r="L1219" s="8">
        <v>93.49</v>
      </c>
      <c r="N1219" s="11">
        <v>98.08</v>
      </c>
    </row>
    <row r="1220" spans="1:14" x14ac:dyDescent="0.35">
      <c r="A1220" s="7">
        <v>44684</v>
      </c>
      <c r="H1220" s="8">
        <v>86.8</v>
      </c>
      <c r="J1220" s="8">
        <v>89.19</v>
      </c>
      <c r="L1220" s="8">
        <v>93.49</v>
      </c>
      <c r="N1220" s="11">
        <v>98.08</v>
      </c>
    </row>
    <row r="1221" spans="1:14" x14ac:dyDescent="0.35">
      <c r="A1221" s="7">
        <v>44685</v>
      </c>
      <c r="H1221" s="8">
        <v>87.68</v>
      </c>
      <c r="J1221" s="8">
        <v>90.49</v>
      </c>
      <c r="L1221" s="8">
        <v>93.86</v>
      </c>
      <c r="N1221" s="8">
        <v>97.82</v>
      </c>
    </row>
    <row r="1222" spans="1:14" x14ac:dyDescent="0.35">
      <c r="A1222" s="7">
        <v>44686</v>
      </c>
      <c r="H1222" s="8">
        <v>89.94</v>
      </c>
      <c r="J1222" s="8">
        <v>93.17</v>
      </c>
      <c r="L1222" s="8">
        <v>97.17</v>
      </c>
      <c r="N1222" s="8">
        <v>100.07</v>
      </c>
    </row>
    <row r="1223" spans="1:14" x14ac:dyDescent="0.35">
      <c r="A1223" s="7">
        <v>44687</v>
      </c>
      <c r="H1223" s="8">
        <v>91.14</v>
      </c>
      <c r="J1223" s="8">
        <v>94.42</v>
      </c>
      <c r="L1223" s="8">
        <v>98.37</v>
      </c>
      <c r="N1223" s="8">
        <v>102.74</v>
      </c>
    </row>
    <row r="1224" spans="1:14" x14ac:dyDescent="0.35">
      <c r="A1224" s="7">
        <v>44688</v>
      </c>
      <c r="H1224" s="8">
        <v>91.14</v>
      </c>
      <c r="J1224" s="8">
        <v>94.42</v>
      </c>
      <c r="L1224" s="8">
        <v>98.37</v>
      </c>
      <c r="N1224" s="8">
        <v>102.74</v>
      </c>
    </row>
    <row r="1225" spans="1:14" x14ac:dyDescent="0.35">
      <c r="A1225" s="7">
        <v>44689</v>
      </c>
      <c r="H1225" s="8">
        <v>91.14</v>
      </c>
      <c r="J1225" s="8">
        <v>94.42</v>
      </c>
      <c r="L1225" s="8">
        <v>98.37</v>
      </c>
      <c r="N1225" s="8">
        <v>102.74</v>
      </c>
    </row>
    <row r="1226" spans="1:14" x14ac:dyDescent="0.35">
      <c r="A1226" s="7">
        <v>44690</v>
      </c>
      <c r="H1226" s="8">
        <v>88.65</v>
      </c>
      <c r="J1226" s="8">
        <v>91.76</v>
      </c>
      <c r="L1226" s="8">
        <v>95.05</v>
      </c>
      <c r="N1226" s="8">
        <v>100.13</v>
      </c>
    </row>
    <row r="1227" spans="1:14" x14ac:dyDescent="0.35">
      <c r="A1227" s="7">
        <v>44691</v>
      </c>
      <c r="H1227" s="8">
        <v>87.43</v>
      </c>
      <c r="J1227" s="8">
        <v>90.54</v>
      </c>
      <c r="L1227" s="8">
        <v>93.67</v>
      </c>
      <c r="N1227" s="8">
        <v>98.44</v>
      </c>
    </row>
    <row r="1228" spans="1:14" x14ac:dyDescent="0.35">
      <c r="A1228" s="7">
        <v>44692</v>
      </c>
      <c r="H1228" s="8">
        <v>86.83</v>
      </c>
      <c r="J1228" s="8">
        <v>90.42</v>
      </c>
      <c r="L1228" s="8">
        <v>93.96</v>
      </c>
      <c r="N1228" s="8">
        <v>98.46</v>
      </c>
    </row>
    <row r="1229" spans="1:14" x14ac:dyDescent="0.35">
      <c r="A1229" s="7">
        <v>44693</v>
      </c>
      <c r="H1229" s="8">
        <v>87.85</v>
      </c>
      <c r="J1229" s="8">
        <v>90.98</v>
      </c>
      <c r="L1229" s="8">
        <v>94.64</v>
      </c>
      <c r="N1229" s="8">
        <v>98.9</v>
      </c>
    </row>
    <row r="1230" spans="1:14" x14ac:dyDescent="0.35">
      <c r="A1230" s="7">
        <v>44694</v>
      </c>
      <c r="H1230" s="8">
        <v>89.01</v>
      </c>
      <c r="J1230" s="8">
        <v>92.53</v>
      </c>
      <c r="L1230" s="8">
        <v>95.69</v>
      </c>
      <c r="N1230" s="8">
        <v>100.38</v>
      </c>
    </row>
    <row r="1231" spans="1:14" x14ac:dyDescent="0.35">
      <c r="A1231" s="7">
        <v>44695</v>
      </c>
      <c r="H1231" s="8">
        <v>89.01</v>
      </c>
      <c r="J1231" s="8">
        <v>92.53</v>
      </c>
      <c r="L1231" s="8">
        <v>95.69</v>
      </c>
      <c r="N1231" s="8">
        <v>100.38</v>
      </c>
    </row>
    <row r="1232" spans="1:14" x14ac:dyDescent="0.35">
      <c r="A1232" s="7">
        <v>44696</v>
      </c>
      <c r="H1232" s="8">
        <v>89.01</v>
      </c>
      <c r="J1232" s="8">
        <v>92.53</v>
      </c>
      <c r="L1232" s="8">
        <v>95.69</v>
      </c>
      <c r="N1232" s="8">
        <v>100.38</v>
      </c>
    </row>
    <row r="1233" spans="1:14" x14ac:dyDescent="0.35">
      <c r="A1233" s="7">
        <v>44697</v>
      </c>
      <c r="H1233" s="8">
        <v>89.33</v>
      </c>
      <c r="J1233" s="8">
        <v>92.22</v>
      </c>
      <c r="L1233" s="8">
        <v>96</v>
      </c>
      <c r="N1233" s="8">
        <v>100.64</v>
      </c>
    </row>
    <row r="1234" spans="1:14" x14ac:dyDescent="0.35">
      <c r="A1234" s="7">
        <v>44698</v>
      </c>
      <c r="H1234" s="8">
        <v>91.18</v>
      </c>
      <c r="J1234" s="8">
        <v>94.11</v>
      </c>
      <c r="L1234" s="8">
        <v>98.11</v>
      </c>
      <c r="N1234" s="8">
        <v>102.63</v>
      </c>
    </row>
    <row r="1235" spans="1:14" x14ac:dyDescent="0.35">
      <c r="A1235" s="7">
        <v>44699</v>
      </c>
      <c r="H1235" s="8">
        <v>86.38</v>
      </c>
      <c r="J1235" s="8">
        <v>90.19</v>
      </c>
      <c r="L1235" s="8">
        <v>93.6</v>
      </c>
      <c r="N1235" s="8">
        <v>97.89</v>
      </c>
    </row>
    <row r="1236" spans="1:14" x14ac:dyDescent="0.35">
      <c r="A1236" s="7">
        <v>44700</v>
      </c>
      <c r="H1236" s="8">
        <v>82.32</v>
      </c>
      <c r="J1236" s="8">
        <v>85.39</v>
      </c>
      <c r="L1236" s="8">
        <v>89.71</v>
      </c>
      <c r="N1236" s="8">
        <v>95.05</v>
      </c>
    </row>
    <row r="1237" spans="1:14" x14ac:dyDescent="0.35">
      <c r="A1237" s="7">
        <v>44701</v>
      </c>
      <c r="H1237" s="8">
        <v>81.739999999999995</v>
      </c>
      <c r="J1237" s="8">
        <v>85.26</v>
      </c>
      <c r="L1237" s="8">
        <v>89.69</v>
      </c>
      <c r="N1237" s="8">
        <v>94.01</v>
      </c>
    </row>
    <row r="1238" spans="1:14" x14ac:dyDescent="0.35">
      <c r="A1238" s="7">
        <v>44702</v>
      </c>
      <c r="H1238" s="8">
        <v>81.739999999999995</v>
      </c>
      <c r="J1238" s="8">
        <v>85.26</v>
      </c>
      <c r="L1238" s="8">
        <v>89.69</v>
      </c>
      <c r="N1238" s="8">
        <v>94.01</v>
      </c>
    </row>
    <row r="1239" spans="1:14" x14ac:dyDescent="0.35">
      <c r="A1239" s="7">
        <v>44703</v>
      </c>
      <c r="H1239" s="8">
        <v>81.739999999999995</v>
      </c>
      <c r="J1239" s="8">
        <v>85.26</v>
      </c>
      <c r="L1239" s="8">
        <v>89.69</v>
      </c>
      <c r="N1239" s="8">
        <v>94.01</v>
      </c>
    </row>
    <row r="1240" spans="1:14" x14ac:dyDescent="0.35">
      <c r="A1240" s="7">
        <v>44704</v>
      </c>
      <c r="H1240" s="8">
        <v>79.400000000000006</v>
      </c>
      <c r="J1240" s="8">
        <v>82.21</v>
      </c>
      <c r="L1240" s="8">
        <v>86.92</v>
      </c>
      <c r="N1240" s="8">
        <v>93.09</v>
      </c>
    </row>
    <row r="1241" spans="1:14" x14ac:dyDescent="0.35">
      <c r="A1241" s="7">
        <v>44705</v>
      </c>
      <c r="H1241" s="8">
        <v>80.510000000000005</v>
      </c>
      <c r="J1241" s="8">
        <v>83.61</v>
      </c>
      <c r="L1241" s="8">
        <v>87.85</v>
      </c>
      <c r="N1241" s="8">
        <v>91.34</v>
      </c>
    </row>
    <row r="1242" spans="1:14" x14ac:dyDescent="0.35">
      <c r="A1242" s="7">
        <v>44706</v>
      </c>
      <c r="H1242" s="8">
        <v>81.42</v>
      </c>
      <c r="J1242" s="8">
        <v>84.78</v>
      </c>
      <c r="L1242" s="8">
        <v>89.05</v>
      </c>
      <c r="N1242" s="8">
        <v>93.98</v>
      </c>
    </row>
    <row r="1243" spans="1:14" x14ac:dyDescent="0.35">
      <c r="A1243" s="7">
        <v>44707</v>
      </c>
      <c r="H1243" s="8">
        <v>83.32</v>
      </c>
      <c r="J1243" s="8">
        <v>85.91</v>
      </c>
      <c r="L1243" s="8">
        <v>90.21</v>
      </c>
      <c r="N1243" s="8">
        <v>93.7</v>
      </c>
    </row>
    <row r="1244" spans="1:14" x14ac:dyDescent="0.35">
      <c r="A1244" s="7">
        <v>44708</v>
      </c>
      <c r="H1244" s="8">
        <v>84.57</v>
      </c>
      <c r="J1244" s="8">
        <v>87.61</v>
      </c>
      <c r="L1244" s="8">
        <v>91.91</v>
      </c>
      <c r="N1244" s="8">
        <v>96.9</v>
      </c>
    </row>
    <row r="1245" spans="1:14" x14ac:dyDescent="0.35">
      <c r="A1245" s="7">
        <v>44709</v>
      </c>
      <c r="H1245" s="8">
        <v>84.57</v>
      </c>
      <c r="J1245" s="8">
        <v>87.61</v>
      </c>
      <c r="L1245" s="8">
        <v>91.91</v>
      </c>
      <c r="N1245" s="8">
        <v>96.9</v>
      </c>
    </row>
    <row r="1246" spans="1:14" x14ac:dyDescent="0.35">
      <c r="A1246" s="7">
        <v>44710</v>
      </c>
      <c r="H1246" s="8">
        <v>84.57</v>
      </c>
      <c r="J1246" s="8">
        <v>87.61</v>
      </c>
      <c r="L1246" s="8">
        <v>91.91</v>
      </c>
      <c r="N1246" s="8">
        <v>96.9</v>
      </c>
    </row>
    <row r="1247" spans="1:14" x14ac:dyDescent="0.35">
      <c r="A1247" s="7">
        <v>44711</v>
      </c>
      <c r="H1247" s="8">
        <v>84.01</v>
      </c>
      <c r="J1247" s="8">
        <v>87.07</v>
      </c>
      <c r="L1247" s="8">
        <v>91.31</v>
      </c>
      <c r="N1247" s="8">
        <v>96.01</v>
      </c>
    </row>
    <row r="1248" spans="1:14" x14ac:dyDescent="0.35">
      <c r="A1248" s="7">
        <v>44712</v>
      </c>
      <c r="H1248" s="8">
        <v>84.1</v>
      </c>
      <c r="J1248" s="8">
        <v>87</v>
      </c>
      <c r="L1248" s="8">
        <v>91.09</v>
      </c>
      <c r="N1248" s="8">
        <v>95.89</v>
      </c>
    </row>
    <row r="1249" spans="1:14" x14ac:dyDescent="0.35">
      <c r="A1249" s="7">
        <v>44713</v>
      </c>
      <c r="H1249" s="8">
        <v>85.14</v>
      </c>
      <c r="J1249" s="8">
        <v>87.8</v>
      </c>
      <c r="L1249" s="8">
        <v>91.86</v>
      </c>
      <c r="N1249" s="8">
        <v>96.91</v>
      </c>
    </row>
    <row r="1250" spans="1:14" x14ac:dyDescent="0.35">
      <c r="A1250" s="7">
        <v>44714</v>
      </c>
      <c r="H1250" s="8">
        <v>87.28</v>
      </c>
      <c r="J1250" s="8">
        <v>90.32</v>
      </c>
      <c r="L1250" s="11">
        <v>93.54</v>
      </c>
      <c r="N1250" s="11">
        <v>98.53</v>
      </c>
    </row>
    <row r="1251" spans="1:14" x14ac:dyDescent="0.35">
      <c r="A1251" s="7">
        <v>44715</v>
      </c>
      <c r="H1251" s="8">
        <v>86.85</v>
      </c>
      <c r="J1251" s="8">
        <v>89.65</v>
      </c>
      <c r="L1251" s="11">
        <v>94.08</v>
      </c>
      <c r="N1251" s="11">
        <v>99.06</v>
      </c>
    </row>
    <row r="1252" spans="1:14" x14ac:dyDescent="0.35">
      <c r="A1252" s="7">
        <v>44716</v>
      </c>
      <c r="H1252" s="8">
        <v>86.85</v>
      </c>
      <c r="J1252" s="8">
        <v>89.65</v>
      </c>
      <c r="L1252" s="11">
        <v>94.08</v>
      </c>
      <c r="N1252" s="11">
        <v>99.06</v>
      </c>
    </row>
    <row r="1253" spans="1:14" x14ac:dyDescent="0.35">
      <c r="A1253" s="7">
        <v>44717</v>
      </c>
      <c r="H1253" s="8">
        <v>86.85</v>
      </c>
      <c r="J1253" s="8">
        <v>89.65</v>
      </c>
      <c r="L1253" s="11">
        <v>94.08</v>
      </c>
      <c r="N1253" s="11">
        <v>99.06</v>
      </c>
    </row>
    <row r="1254" spans="1:14" x14ac:dyDescent="0.35">
      <c r="A1254" s="7">
        <v>44718</v>
      </c>
      <c r="H1254" s="8">
        <v>83.35</v>
      </c>
      <c r="J1254" s="8">
        <v>86.46</v>
      </c>
      <c r="L1254" s="8">
        <v>90.05</v>
      </c>
      <c r="N1254" s="8">
        <v>96.65</v>
      </c>
    </row>
    <row r="1255" spans="1:14" x14ac:dyDescent="0.35">
      <c r="A1255" s="7">
        <v>44719</v>
      </c>
      <c r="H1255" s="8">
        <v>81.84</v>
      </c>
      <c r="J1255" s="8">
        <v>84.72</v>
      </c>
      <c r="L1255" s="8">
        <v>88.94</v>
      </c>
      <c r="N1255" s="8">
        <v>94.15</v>
      </c>
    </row>
    <row r="1256" spans="1:14" x14ac:dyDescent="0.35">
      <c r="A1256" s="7">
        <v>44720</v>
      </c>
      <c r="H1256" s="8">
        <v>79.989999999999995</v>
      </c>
      <c r="J1256" s="8">
        <v>82.63</v>
      </c>
      <c r="L1256" s="8">
        <v>86.86</v>
      </c>
      <c r="N1256" s="8">
        <v>91.76</v>
      </c>
    </row>
    <row r="1257" spans="1:14" x14ac:dyDescent="0.35">
      <c r="A1257" s="7">
        <v>44721</v>
      </c>
      <c r="H1257" s="8">
        <v>80.81</v>
      </c>
      <c r="J1257" s="8">
        <v>83.43</v>
      </c>
      <c r="L1257" s="8">
        <v>88.17</v>
      </c>
      <c r="N1257" s="8">
        <v>92.76</v>
      </c>
    </row>
    <row r="1258" spans="1:14" x14ac:dyDescent="0.35">
      <c r="A1258" s="7">
        <v>44722</v>
      </c>
      <c r="H1258" s="8">
        <v>81.400000000000006</v>
      </c>
      <c r="J1258" s="8">
        <v>84.19</v>
      </c>
      <c r="L1258" s="8">
        <v>88.51</v>
      </c>
      <c r="N1258" s="8">
        <v>93.17</v>
      </c>
    </row>
    <row r="1259" spans="1:14" x14ac:dyDescent="0.35">
      <c r="A1259" s="7">
        <v>44723</v>
      </c>
      <c r="H1259" s="8">
        <v>81.400000000000006</v>
      </c>
      <c r="J1259" s="8">
        <v>84.19</v>
      </c>
      <c r="L1259" s="8">
        <v>88.51</v>
      </c>
      <c r="N1259" s="8">
        <v>93.17</v>
      </c>
    </row>
    <row r="1260" spans="1:14" x14ac:dyDescent="0.35">
      <c r="A1260" s="7">
        <v>44724</v>
      </c>
      <c r="H1260" s="8">
        <v>81.400000000000006</v>
      </c>
      <c r="J1260" s="8">
        <v>84.19</v>
      </c>
      <c r="L1260" s="8">
        <v>88.51</v>
      </c>
      <c r="N1260" s="8">
        <v>93.17</v>
      </c>
    </row>
    <row r="1261" spans="1:14" x14ac:dyDescent="0.35">
      <c r="A1261" s="7">
        <v>44725</v>
      </c>
      <c r="H1261" s="8">
        <v>80.959999999999994</v>
      </c>
      <c r="J1261" s="8">
        <v>83.93</v>
      </c>
      <c r="L1261" s="8">
        <v>88.66</v>
      </c>
      <c r="N1261" s="8">
        <v>94.3</v>
      </c>
    </row>
    <row r="1262" spans="1:14" x14ac:dyDescent="0.35">
      <c r="A1262" s="7">
        <v>44726</v>
      </c>
      <c r="H1262" s="8">
        <v>83.03</v>
      </c>
      <c r="J1262" s="8">
        <v>86.15</v>
      </c>
      <c r="L1262" s="8">
        <v>91.15</v>
      </c>
      <c r="N1262" s="8">
        <v>95.72</v>
      </c>
    </row>
    <row r="1263" spans="1:14" x14ac:dyDescent="0.35">
      <c r="A1263" s="7">
        <v>44727</v>
      </c>
      <c r="H1263" s="8">
        <v>85.4</v>
      </c>
      <c r="J1263" s="8">
        <v>88.65</v>
      </c>
      <c r="L1263" s="8">
        <v>93.62</v>
      </c>
      <c r="N1263" s="11">
        <v>97.9</v>
      </c>
    </row>
    <row r="1264" spans="1:14" x14ac:dyDescent="0.35">
      <c r="A1264" s="7">
        <v>44728</v>
      </c>
      <c r="H1264" s="8">
        <v>84.48</v>
      </c>
      <c r="J1264" s="8">
        <v>87.43</v>
      </c>
      <c r="L1264" s="8">
        <v>92.22</v>
      </c>
      <c r="N1264" s="8">
        <v>99.3</v>
      </c>
    </row>
    <row r="1265" spans="1:14" x14ac:dyDescent="0.35">
      <c r="A1265" s="7">
        <v>44729</v>
      </c>
      <c r="H1265" s="8">
        <v>83.01</v>
      </c>
      <c r="J1265" s="8">
        <v>86.26</v>
      </c>
      <c r="L1265" s="8">
        <v>91.26</v>
      </c>
      <c r="N1265" s="8">
        <v>97.26</v>
      </c>
    </row>
    <row r="1266" spans="1:14" x14ac:dyDescent="0.35">
      <c r="A1266" s="7">
        <v>44730</v>
      </c>
      <c r="H1266" s="8">
        <v>83.01</v>
      </c>
      <c r="J1266" s="8">
        <v>86.26</v>
      </c>
      <c r="L1266" s="8">
        <v>91.26</v>
      </c>
      <c r="N1266" s="8">
        <v>97.26</v>
      </c>
    </row>
    <row r="1267" spans="1:14" x14ac:dyDescent="0.35">
      <c r="A1267" s="7">
        <v>44731</v>
      </c>
      <c r="H1267" s="8">
        <v>83.01</v>
      </c>
      <c r="J1267" s="8">
        <v>86.26</v>
      </c>
      <c r="L1267" s="8">
        <v>91.26</v>
      </c>
      <c r="N1267" s="8">
        <v>97.26</v>
      </c>
    </row>
    <row r="1268" spans="1:14" x14ac:dyDescent="0.35">
      <c r="A1268" s="7">
        <v>44732</v>
      </c>
      <c r="H1268" s="8">
        <v>83.84</v>
      </c>
      <c r="J1268" s="8">
        <v>87.06</v>
      </c>
      <c r="L1268" s="8">
        <v>92.01</v>
      </c>
      <c r="N1268" s="8">
        <v>97.84</v>
      </c>
    </row>
    <row r="1269" spans="1:14" x14ac:dyDescent="0.35">
      <c r="A1269" s="7">
        <v>44733</v>
      </c>
      <c r="H1269" s="8">
        <v>84.7</v>
      </c>
      <c r="J1269" s="8">
        <v>88.1</v>
      </c>
      <c r="L1269" s="8">
        <v>93.44</v>
      </c>
      <c r="N1269" s="11">
        <v>99.49</v>
      </c>
    </row>
    <row r="1270" spans="1:14" x14ac:dyDescent="0.35">
      <c r="A1270" s="7">
        <v>44734</v>
      </c>
      <c r="H1270" s="8">
        <v>83.31</v>
      </c>
      <c r="J1270" s="8">
        <v>86.92</v>
      </c>
      <c r="L1270" s="8">
        <v>92.28</v>
      </c>
      <c r="N1270" s="8">
        <v>98.5</v>
      </c>
    </row>
    <row r="1271" spans="1:14" x14ac:dyDescent="0.35">
      <c r="A1271" s="7">
        <v>44735</v>
      </c>
      <c r="H1271" s="8">
        <v>82.83</v>
      </c>
      <c r="J1271" s="8">
        <v>85.87</v>
      </c>
      <c r="L1271" s="8">
        <v>91.84</v>
      </c>
      <c r="N1271" s="8">
        <v>96.8</v>
      </c>
    </row>
    <row r="1272" spans="1:14" x14ac:dyDescent="0.35">
      <c r="A1272" s="7">
        <v>44736</v>
      </c>
      <c r="H1272" s="8">
        <v>83.67</v>
      </c>
      <c r="J1272" s="8">
        <v>86.69</v>
      </c>
      <c r="L1272" s="8">
        <v>92.34</v>
      </c>
      <c r="N1272" s="11">
        <v>98.46</v>
      </c>
    </row>
    <row r="1273" spans="1:14" x14ac:dyDescent="0.35">
      <c r="A1273" s="7">
        <v>44737</v>
      </c>
      <c r="H1273" s="8">
        <v>83.67</v>
      </c>
      <c r="J1273" s="8">
        <v>86.69</v>
      </c>
      <c r="L1273" s="8">
        <v>92.34</v>
      </c>
      <c r="N1273" s="8">
        <v>98.46</v>
      </c>
    </row>
    <row r="1274" spans="1:14" x14ac:dyDescent="0.35">
      <c r="A1274" s="7">
        <v>44738</v>
      </c>
      <c r="H1274" s="8">
        <v>83.67</v>
      </c>
      <c r="J1274" s="8">
        <v>86.69</v>
      </c>
      <c r="L1274" s="8">
        <v>92.34</v>
      </c>
      <c r="N1274" s="8">
        <v>98.46</v>
      </c>
    </row>
    <row r="1275" spans="1:14" x14ac:dyDescent="0.35">
      <c r="A1275" s="7">
        <v>44739</v>
      </c>
      <c r="H1275" s="8">
        <v>84.38</v>
      </c>
      <c r="J1275" s="8">
        <v>87.3</v>
      </c>
      <c r="L1275" s="8">
        <v>93.18</v>
      </c>
      <c r="N1275" s="11">
        <v>100.47</v>
      </c>
    </row>
    <row r="1276" spans="1:14" x14ac:dyDescent="0.35">
      <c r="A1276" s="7">
        <v>44740</v>
      </c>
      <c r="H1276" s="8">
        <v>85.82</v>
      </c>
      <c r="J1276" s="8">
        <v>88.37</v>
      </c>
      <c r="L1276" s="8">
        <v>94.89</v>
      </c>
      <c r="N1276" s="8">
        <v>101.41</v>
      </c>
    </row>
    <row r="1277" spans="1:14" x14ac:dyDescent="0.35">
      <c r="A1277" s="7">
        <v>44741</v>
      </c>
      <c r="H1277" s="8">
        <v>88.73</v>
      </c>
      <c r="J1277" s="8">
        <v>91.5</v>
      </c>
      <c r="L1277" s="8">
        <v>98.34</v>
      </c>
      <c r="N1277" s="8">
        <v>105.5</v>
      </c>
    </row>
    <row r="1278" spans="1:14" x14ac:dyDescent="0.35">
      <c r="A1278" s="7">
        <v>44742</v>
      </c>
      <c r="H1278" s="8">
        <v>88.97</v>
      </c>
      <c r="J1278" s="8">
        <v>91.83</v>
      </c>
      <c r="L1278" s="8">
        <v>97.96</v>
      </c>
      <c r="N1278" s="8">
        <v>105.28</v>
      </c>
    </row>
    <row r="1279" spans="1:14" x14ac:dyDescent="0.35">
      <c r="A1279" s="7">
        <v>44743</v>
      </c>
      <c r="H1279" s="8">
        <v>87.44</v>
      </c>
      <c r="I1279" s="8">
        <v>88.55</v>
      </c>
      <c r="J1279" s="8">
        <v>90.07</v>
      </c>
      <c r="L1279" s="8">
        <v>95.15</v>
      </c>
      <c r="N1279" s="8">
        <v>103.05</v>
      </c>
    </row>
    <row r="1280" spans="1:14" x14ac:dyDescent="0.35">
      <c r="A1280" s="7">
        <v>44744</v>
      </c>
      <c r="H1280" s="8">
        <v>87.44</v>
      </c>
      <c r="I1280" s="8">
        <v>88.55</v>
      </c>
      <c r="J1280" s="8">
        <v>90.07</v>
      </c>
      <c r="L1280" s="8">
        <v>95.15</v>
      </c>
      <c r="N1280" s="8">
        <v>103.05</v>
      </c>
    </row>
    <row r="1281" spans="1:14" x14ac:dyDescent="0.35">
      <c r="A1281" s="7">
        <v>44745</v>
      </c>
      <c r="H1281" s="8">
        <v>87.44</v>
      </c>
      <c r="I1281" s="8">
        <v>88.55</v>
      </c>
      <c r="J1281" s="8">
        <v>90.07</v>
      </c>
      <c r="L1281" s="8">
        <v>95.15</v>
      </c>
      <c r="N1281" s="8">
        <v>103.05</v>
      </c>
    </row>
    <row r="1282" spans="1:14" x14ac:dyDescent="0.35">
      <c r="A1282" s="7">
        <v>44746</v>
      </c>
      <c r="H1282" s="8">
        <v>84.92</v>
      </c>
      <c r="I1282" s="8">
        <v>85.81</v>
      </c>
      <c r="J1282" s="8">
        <v>87.71</v>
      </c>
      <c r="L1282" s="8">
        <v>93.5</v>
      </c>
      <c r="N1282" s="8">
        <v>100.35</v>
      </c>
    </row>
    <row r="1283" spans="1:14" x14ac:dyDescent="0.35">
      <c r="A1283" s="7">
        <v>44747</v>
      </c>
      <c r="H1283" s="8">
        <v>83.49</v>
      </c>
      <c r="I1283" s="8">
        <v>84.16</v>
      </c>
      <c r="J1283" s="8">
        <v>86.15</v>
      </c>
      <c r="L1283" s="8">
        <v>91.88</v>
      </c>
      <c r="N1283" s="8">
        <v>99.33</v>
      </c>
    </row>
    <row r="1284" spans="1:14" x14ac:dyDescent="0.35">
      <c r="A1284" s="7">
        <v>44748</v>
      </c>
      <c r="H1284" s="8">
        <v>83.45</v>
      </c>
      <c r="I1284" s="8">
        <v>83.99</v>
      </c>
      <c r="J1284" s="8">
        <v>86.01</v>
      </c>
      <c r="L1284" s="8">
        <v>92.09</v>
      </c>
      <c r="N1284" s="8">
        <v>99.04</v>
      </c>
    </row>
    <row r="1285" spans="1:14" x14ac:dyDescent="0.35">
      <c r="A1285" s="7">
        <v>44749</v>
      </c>
      <c r="H1285" s="8">
        <v>84.41</v>
      </c>
      <c r="I1285" s="8">
        <v>84.65</v>
      </c>
      <c r="J1285" s="8">
        <v>87.4</v>
      </c>
      <c r="L1285" s="8">
        <v>93.85</v>
      </c>
      <c r="N1285" s="8">
        <v>101.2</v>
      </c>
    </row>
    <row r="1286" spans="1:14" x14ac:dyDescent="0.35">
      <c r="A1286" s="7">
        <v>44750</v>
      </c>
      <c r="H1286" s="8">
        <v>83.52</v>
      </c>
      <c r="I1286" s="8">
        <v>84.2</v>
      </c>
      <c r="J1286" s="8">
        <v>86.45</v>
      </c>
      <c r="L1286" s="8">
        <v>92.47</v>
      </c>
      <c r="N1286" s="8">
        <v>99.5</v>
      </c>
    </row>
    <row r="1287" spans="1:14" x14ac:dyDescent="0.35">
      <c r="A1287" s="7">
        <v>44751</v>
      </c>
      <c r="H1287" s="8">
        <v>83.52</v>
      </c>
      <c r="I1287" s="8">
        <v>84.2</v>
      </c>
      <c r="J1287" s="8">
        <v>86.45</v>
      </c>
      <c r="L1287" s="8">
        <v>92.47</v>
      </c>
      <c r="N1287" s="8">
        <v>99.5</v>
      </c>
    </row>
    <row r="1288" spans="1:14" x14ac:dyDescent="0.35">
      <c r="A1288" s="7">
        <v>44752</v>
      </c>
      <c r="H1288" s="8">
        <v>83.52</v>
      </c>
      <c r="I1288" s="8">
        <v>84.2</v>
      </c>
      <c r="J1288" s="8">
        <v>86.45</v>
      </c>
      <c r="L1288" s="8">
        <v>92.47</v>
      </c>
      <c r="N1288" s="8">
        <v>99.5</v>
      </c>
    </row>
    <row r="1289" spans="1:14" x14ac:dyDescent="0.35">
      <c r="A1289" s="7">
        <v>44753</v>
      </c>
      <c r="H1289" s="8">
        <v>83.89</v>
      </c>
      <c r="I1289" s="8">
        <v>84.64</v>
      </c>
      <c r="J1289" s="8">
        <v>86.78</v>
      </c>
      <c r="L1289" s="8">
        <v>92.89</v>
      </c>
      <c r="N1289" s="8">
        <v>99.88</v>
      </c>
    </row>
    <row r="1290" spans="1:14" x14ac:dyDescent="0.35">
      <c r="A1290" s="7">
        <v>44754</v>
      </c>
      <c r="H1290" s="8">
        <v>84.92</v>
      </c>
      <c r="I1290" s="8">
        <v>85.58</v>
      </c>
      <c r="J1290" s="8">
        <v>87.5</v>
      </c>
      <c r="L1290" s="8">
        <v>93.23</v>
      </c>
      <c r="N1290" s="8">
        <v>100.57</v>
      </c>
    </row>
    <row r="1291" spans="1:14" x14ac:dyDescent="0.35">
      <c r="A1291" s="7">
        <v>44755</v>
      </c>
      <c r="H1291" s="8">
        <v>84.75</v>
      </c>
      <c r="I1291" s="8">
        <v>86.35</v>
      </c>
      <c r="J1291" s="8">
        <v>88.01</v>
      </c>
      <c r="L1291" s="8">
        <v>92.58</v>
      </c>
      <c r="N1291" s="8">
        <v>100.41</v>
      </c>
    </row>
    <row r="1292" spans="1:14" x14ac:dyDescent="0.35">
      <c r="A1292" s="7">
        <v>44756</v>
      </c>
      <c r="H1292" s="8">
        <v>83.84</v>
      </c>
      <c r="I1292" s="8">
        <v>84.45</v>
      </c>
      <c r="J1292" s="8">
        <v>86.58</v>
      </c>
      <c r="L1292" s="8">
        <v>92.52</v>
      </c>
      <c r="N1292" s="8">
        <v>99.9</v>
      </c>
    </row>
    <row r="1293" spans="1:14" x14ac:dyDescent="0.35">
      <c r="A1293" s="7">
        <v>44757</v>
      </c>
      <c r="H1293" s="8">
        <v>84.86</v>
      </c>
      <c r="I1293" s="8">
        <v>85.68</v>
      </c>
      <c r="J1293" s="8">
        <v>87.56</v>
      </c>
      <c r="L1293" s="8">
        <v>93.2</v>
      </c>
      <c r="N1293" s="11">
        <v>101.06</v>
      </c>
    </row>
    <row r="1294" spans="1:14" x14ac:dyDescent="0.35">
      <c r="A1294" s="7">
        <v>44758</v>
      </c>
      <c r="H1294" s="8">
        <v>84.86</v>
      </c>
      <c r="I1294" s="8">
        <v>85.68</v>
      </c>
      <c r="J1294" s="8">
        <v>87.56</v>
      </c>
      <c r="L1294" s="8">
        <v>93.2</v>
      </c>
      <c r="N1294" s="8">
        <v>101.06</v>
      </c>
    </row>
    <row r="1295" spans="1:14" x14ac:dyDescent="0.35">
      <c r="A1295" s="7">
        <v>44759</v>
      </c>
      <c r="H1295" s="8">
        <v>84.86</v>
      </c>
      <c r="I1295" s="8">
        <v>85.68</v>
      </c>
      <c r="J1295" s="8">
        <v>87.56</v>
      </c>
      <c r="L1295" s="8">
        <v>93.2</v>
      </c>
      <c r="N1295" s="8">
        <v>101.06</v>
      </c>
    </row>
    <row r="1296" spans="1:14" x14ac:dyDescent="0.35">
      <c r="A1296" s="7">
        <v>44760</v>
      </c>
      <c r="H1296" s="8">
        <v>84.61</v>
      </c>
      <c r="I1296" s="8">
        <v>85.28</v>
      </c>
      <c r="J1296" s="8">
        <v>87.39</v>
      </c>
      <c r="L1296" s="8">
        <v>92.96</v>
      </c>
      <c r="N1296" s="8">
        <v>99.66</v>
      </c>
    </row>
    <row r="1297" spans="1:16" x14ac:dyDescent="0.35">
      <c r="A1297" s="7">
        <v>44761</v>
      </c>
      <c r="H1297" s="8">
        <v>83.79</v>
      </c>
      <c r="I1297" s="8">
        <v>84.73</v>
      </c>
      <c r="J1297" s="8">
        <v>86.65</v>
      </c>
      <c r="L1297" s="8">
        <v>92.66</v>
      </c>
      <c r="N1297" s="8">
        <v>99.92</v>
      </c>
    </row>
    <row r="1298" spans="1:16" x14ac:dyDescent="0.35">
      <c r="A1298" s="7">
        <v>44762</v>
      </c>
      <c r="H1298" s="8">
        <v>80.540000000000006</v>
      </c>
      <c r="I1298" s="8">
        <v>81.459999999999994</v>
      </c>
      <c r="J1298" s="8">
        <v>83.28</v>
      </c>
      <c r="L1298" s="8">
        <v>89.27</v>
      </c>
      <c r="N1298" s="8">
        <v>95.83</v>
      </c>
    </row>
    <row r="1299" spans="1:16" x14ac:dyDescent="0.35">
      <c r="A1299" s="7">
        <v>44763</v>
      </c>
      <c r="H1299" s="8">
        <v>78.34</v>
      </c>
      <c r="I1299" s="8">
        <v>79.31</v>
      </c>
      <c r="J1299" s="8">
        <v>81.02</v>
      </c>
      <c r="L1299" s="8">
        <v>86.48</v>
      </c>
      <c r="N1299" s="8">
        <v>93.73</v>
      </c>
    </row>
    <row r="1300" spans="1:16" x14ac:dyDescent="0.35">
      <c r="A1300" s="7">
        <v>44764</v>
      </c>
      <c r="H1300" s="8">
        <v>77.92</v>
      </c>
      <c r="I1300" s="8">
        <v>79.41</v>
      </c>
      <c r="J1300" s="8">
        <v>80.77</v>
      </c>
      <c r="L1300" s="8">
        <v>86.18</v>
      </c>
      <c r="N1300" s="8">
        <v>91.43</v>
      </c>
    </row>
    <row r="1301" spans="1:16" x14ac:dyDescent="0.35">
      <c r="A1301" s="7">
        <v>44765</v>
      </c>
      <c r="H1301" s="8">
        <v>77.92</v>
      </c>
      <c r="I1301" s="8">
        <v>79.41</v>
      </c>
      <c r="J1301" s="8">
        <v>80.77</v>
      </c>
      <c r="L1301" s="8">
        <v>86.18</v>
      </c>
      <c r="N1301" s="8">
        <v>91.43</v>
      </c>
    </row>
    <row r="1302" spans="1:16" x14ac:dyDescent="0.35">
      <c r="A1302" s="7">
        <v>44766</v>
      </c>
      <c r="H1302" s="8">
        <v>77.92</v>
      </c>
      <c r="I1302" s="8">
        <v>79.41</v>
      </c>
      <c r="J1302" s="8">
        <v>80.77</v>
      </c>
      <c r="L1302" s="8">
        <v>86.18</v>
      </c>
      <c r="N1302" s="8">
        <v>91.43</v>
      </c>
    </row>
    <row r="1303" spans="1:16" x14ac:dyDescent="0.35">
      <c r="A1303" s="7">
        <v>44767</v>
      </c>
      <c r="H1303" s="8">
        <v>76.91</v>
      </c>
      <c r="I1303" s="8">
        <v>77</v>
      </c>
      <c r="J1303" s="8">
        <v>79.52</v>
      </c>
      <c r="L1303" s="8">
        <v>84.69</v>
      </c>
      <c r="N1303" s="8">
        <v>91.17</v>
      </c>
    </row>
    <row r="1304" spans="1:16" x14ac:dyDescent="0.35">
      <c r="A1304" s="7">
        <v>44768</v>
      </c>
      <c r="H1304" s="8">
        <v>76.680000000000007</v>
      </c>
      <c r="I1304" s="8">
        <v>77.52</v>
      </c>
      <c r="J1304" s="8">
        <v>79.3</v>
      </c>
      <c r="L1304" s="8">
        <v>84.02</v>
      </c>
      <c r="N1304" s="8">
        <v>91.1</v>
      </c>
    </row>
    <row r="1305" spans="1:16" x14ac:dyDescent="0.35">
      <c r="A1305" s="7">
        <v>44769</v>
      </c>
      <c r="H1305" s="8">
        <v>76.78</v>
      </c>
      <c r="I1305" s="8">
        <v>77.959999999999994</v>
      </c>
      <c r="J1305" s="8">
        <v>79.11</v>
      </c>
      <c r="L1305" s="8">
        <v>83.65</v>
      </c>
      <c r="N1305" s="8">
        <v>89.83</v>
      </c>
    </row>
    <row r="1306" spans="1:16" x14ac:dyDescent="0.35">
      <c r="A1306" s="7">
        <v>44770</v>
      </c>
      <c r="H1306" s="8">
        <v>78.400000000000006</v>
      </c>
      <c r="I1306" s="8">
        <v>79.040000000000006</v>
      </c>
      <c r="J1306" s="8">
        <v>80.569999999999993</v>
      </c>
      <c r="L1306" s="8">
        <v>85.92</v>
      </c>
      <c r="N1306" s="8">
        <v>92.7</v>
      </c>
    </row>
    <row r="1307" spans="1:16" x14ac:dyDescent="0.35">
      <c r="A1307" s="7">
        <v>44771</v>
      </c>
      <c r="H1307" s="8">
        <v>78.28</v>
      </c>
      <c r="I1307" s="8">
        <v>78.83</v>
      </c>
      <c r="J1307" s="8">
        <v>80.52</v>
      </c>
      <c r="L1307" s="8">
        <v>84.61</v>
      </c>
      <c r="N1307" s="8">
        <v>90.16</v>
      </c>
    </row>
    <row r="1308" spans="1:16" x14ac:dyDescent="0.35">
      <c r="A1308" s="7">
        <v>44772</v>
      </c>
      <c r="H1308" s="8">
        <v>78.28</v>
      </c>
      <c r="I1308" s="8">
        <v>78.83</v>
      </c>
      <c r="J1308" s="8">
        <v>80.52</v>
      </c>
      <c r="L1308" s="8">
        <v>84.61</v>
      </c>
      <c r="N1308" s="8">
        <v>90.16</v>
      </c>
    </row>
    <row r="1309" spans="1:16" x14ac:dyDescent="0.35">
      <c r="A1309" s="7">
        <v>44773</v>
      </c>
      <c r="H1309" s="8">
        <v>78.28</v>
      </c>
      <c r="I1309" s="8">
        <v>78.83</v>
      </c>
      <c r="J1309" s="8">
        <v>80.52</v>
      </c>
      <c r="L1309" s="8">
        <v>84.61</v>
      </c>
      <c r="N1309" s="8">
        <v>90.16</v>
      </c>
    </row>
    <row r="1310" spans="1:16" x14ac:dyDescent="0.35">
      <c r="A1310" s="7">
        <v>44774</v>
      </c>
      <c r="H1310" s="8">
        <v>79.75</v>
      </c>
      <c r="I1310" s="8">
        <v>80.180000000000007</v>
      </c>
      <c r="J1310" s="8">
        <v>82.1</v>
      </c>
      <c r="L1310" s="8">
        <v>85.79</v>
      </c>
      <c r="N1310" s="8">
        <v>91.62</v>
      </c>
      <c r="P1310" s="24"/>
    </row>
    <row r="1311" spans="1:16" x14ac:dyDescent="0.35">
      <c r="A1311" s="7">
        <v>44775</v>
      </c>
      <c r="H1311" s="8">
        <v>81.41</v>
      </c>
      <c r="I1311" s="8">
        <v>81.709999999999994</v>
      </c>
      <c r="J1311" s="8">
        <v>83.49</v>
      </c>
      <c r="L1311" s="8">
        <v>87.5</v>
      </c>
      <c r="N1311" s="8">
        <v>93.25</v>
      </c>
      <c r="P1311" s="24"/>
    </row>
    <row r="1312" spans="1:16" x14ac:dyDescent="0.35">
      <c r="A1312" s="7">
        <v>44776</v>
      </c>
      <c r="H1312" s="8">
        <v>83.46</v>
      </c>
      <c r="I1312" s="8">
        <v>84.09</v>
      </c>
      <c r="J1312" s="8">
        <v>85.9</v>
      </c>
      <c r="L1312" s="8">
        <v>89.91</v>
      </c>
      <c r="N1312" s="8">
        <v>95.48</v>
      </c>
      <c r="P1312" s="24"/>
    </row>
    <row r="1313" spans="1:16" x14ac:dyDescent="0.35">
      <c r="A1313" s="7">
        <v>44777</v>
      </c>
      <c r="H1313" s="8">
        <v>84.39</v>
      </c>
      <c r="I1313" s="8">
        <v>85.19</v>
      </c>
      <c r="J1313" s="8">
        <v>86.76</v>
      </c>
      <c r="L1313" s="8">
        <v>90.61</v>
      </c>
      <c r="N1313" s="8">
        <v>96.07</v>
      </c>
      <c r="P1313" s="24"/>
    </row>
    <row r="1314" spans="1:16" x14ac:dyDescent="0.35">
      <c r="A1314" s="7">
        <v>44778</v>
      </c>
      <c r="H1314" s="8">
        <v>84.85</v>
      </c>
      <c r="I1314" s="8">
        <v>85.39</v>
      </c>
      <c r="J1314" s="8">
        <v>87.29</v>
      </c>
      <c r="L1314" s="8">
        <v>90.97</v>
      </c>
      <c r="N1314" s="8">
        <v>96.55</v>
      </c>
      <c r="P1314" s="24"/>
    </row>
    <row r="1315" spans="1:16" x14ac:dyDescent="0.35">
      <c r="A1315" s="7">
        <v>44779</v>
      </c>
      <c r="H1315" s="8">
        <v>84.85</v>
      </c>
      <c r="I1315" s="8">
        <v>85.39</v>
      </c>
      <c r="J1315" s="8">
        <v>87.29</v>
      </c>
      <c r="L1315" s="8">
        <v>90.97</v>
      </c>
      <c r="N1315" s="8">
        <v>96.55</v>
      </c>
    </row>
    <row r="1316" spans="1:16" x14ac:dyDescent="0.35">
      <c r="A1316" s="7">
        <v>44780</v>
      </c>
      <c r="H1316" s="8">
        <v>84.85</v>
      </c>
      <c r="I1316" s="8">
        <v>85.39</v>
      </c>
      <c r="J1316" s="8">
        <v>87.29</v>
      </c>
      <c r="L1316" s="8">
        <v>90.97</v>
      </c>
      <c r="N1316" s="8">
        <v>96.55</v>
      </c>
    </row>
    <row r="1317" spans="1:16" x14ac:dyDescent="0.35">
      <c r="A1317" s="7">
        <v>44781</v>
      </c>
      <c r="H1317" s="8">
        <v>84.56</v>
      </c>
      <c r="I1317" s="8">
        <v>85.25</v>
      </c>
      <c r="J1317" s="8">
        <v>86.99</v>
      </c>
      <c r="L1317" s="8">
        <v>90.92</v>
      </c>
      <c r="N1317" s="8">
        <v>96.55</v>
      </c>
      <c r="P1317" s="24"/>
    </row>
    <row r="1318" spans="1:16" x14ac:dyDescent="0.35">
      <c r="A1318" s="7">
        <v>44782</v>
      </c>
      <c r="H1318" s="8">
        <v>85.19</v>
      </c>
      <c r="I1318" s="8">
        <v>86.4</v>
      </c>
      <c r="J1318" s="8">
        <v>87.91</v>
      </c>
      <c r="L1318" s="8">
        <v>92.25</v>
      </c>
      <c r="N1318" s="8">
        <v>96.55</v>
      </c>
      <c r="P1318" s="24"/>
    </row>
    <row r="1319" spans="1:16" x14ac:dyDescent="0.35">
      <c r="A1319" s="7">
        <v>44783</v>
      </c>
      <c r="H1319" s="8">
        <v>85.39</v>
      </c>
      <c r="I1319" s="8">
        <v>86.25</v>
      </c>
      <c r="J1319" s="8">
        <v>87.81</v>
      </c>
      <c r="L1319" s="8">
        <v>91.55</v>
      </c>
      <c r="N1319" s="8">
        <v>96.87</v>
      </c>
      <c r="P1319" s="24"/>
    </row>
    <row r="1320" spans="1:16" x14ac:dyDescent="0.35">
      <c r="A1320" s="7">
        <v>44784</v>
      </c>
      <c r="H1320" s="8">
        <v>87.2</v>
      </c>
      <c r="I1320" s="8">
        <v>87.9</v>
      </c>
      <c r="J1320" s="8">
        <v>89.72</v>
      </c>
      <c r="L1320" s="8">
        <v>93.95</v>
      </c>
      <c r="N1320" s="8">
        <v>100</v>
      </c>
      <c r="P1320" s="24"/>
    </row>
    <row r="1321" spans="1:16" x14ac:dyDescent="0.35">
      <c r="A1321" s="7">
        <v>44785</v>
      </c>
      <c r="H1321" s="8">
        <v>88.24</v>
      </c>
      <c r="I1321" s="8">
        <v>88.94</v>
      </c>
      <c r="J1321" s="8">
        <v>90.71</v>
      </c>
      <c r="L1321" s="8">
        <v>95.1</v>
      </c>
      <c r="N1321" s="8">
        <v>100.7</v>
      </c>
      <c r="P1321" s="24"/>
    </row>
    <row r="1322" spans="1:16" x14ac:dyDescent="0.35">
      <c r="A1322" s="7">
        <v>44786</v>
      </c>
      <c r="H1322" s="8">
        <v>88.24</v>
      </c>
      <c r="I1322" s="8">
        <v>88.94</v>
      </c>
      <c r="J1322" s="8">
        <v>90.71</v>
      </c>
      <c r="L1322" s="8">
        <v>95.1</v>
      </c>
      <c r="N1322" s="8">
        <v>100.7</v>
      </c>
    </row>
    <row r="1323" spans="1:16" x14ac:dyDescent="0.35">
      <c r="A1323" s="7">
        <v>44787</v>
      </c>
      <c r="H1323" s="8">
        <v>88.24</v>
      </c>
      <c r="I1323" s="8">
        <v>88.94</v>
      </c>
      <c r="J1323" s="8">
        <v>90.71</v>
      </c>
      <c r="L1323" s="8">
        <v>95.1</v>
      </c>
      <c r="N1323" s="8">
        <v>100.7</v>
      </c>
      <c r="P1323" s="24"/>
    </row>
    <row r="1324" spans="1:16" x14ac:dyDescent="0.35">
      <c r="A1324" s="7">
        <v>44788</v>
      </c>
      <c r="H1324" s="8">
        <v>89.89</v>
      </c>
      <c r="I1324" s="8">
        <v>90.27</v>
      </c>
      <c r="J1324" s="8">
        <v>92.31</v>
      </c>
      <c r="L1324" s="8">
        <v>96.5</v>
      </c>
      <c r="N1324" s="8">
        <v>102.33</v>
      </c>
      <c r="P1324" s="24"/>
    </row>
    <row r="1325" spans="1:16" x14ac:dyDescent="0.35">
      <c r="A1325" s="7">
        <v>44789</v>
      </c>
      <c r="H1325" s="8">
        <v>91.69</v>
      </c>
      <c r="I1325" s="8">
        <v>92.1</v>
      </c>
      <c r="J1325" s="8">
        <v>94.05</v>
      </c>
      <c r="L1325" s="8">
        <v>98.3</v>
      </c>
      <c r="N1325" s="8">
        <v>104.87</v>
      </c>
    </row>
    <row r="1326" spans="1:16" x14ac:dyDescent="0.35">
      <c r="A1326" s="7">
        <v>44790</v>
      </c>
      <c r="H1326" s="8">
        <v>94.78</v>
      </c>
      <c r="I1326" s="8">
        <v>95.97</v>
      </c>
      <c r="J1326" s="8">
        <v>97.62</v>
      </c>
      <c r="L1326" s="8">
        <v>101.91</v>
      </c>
      <c r="N1326" s="8">
        <v>106.85</v>
      </c>
    </row>
    <row r="1327" spans="1:16" x14ac:dyDescent="0.35">
      <c r="A1327" s="7">
        <v>44791</v>
      </c>
      <c r="H1327" s="8">
        <v>95.43</v>
      </c>
      <c r="I1327" s="8">
        <v>95.93</v>
      </c>
      <c r="J1327" s="8">
        <v>98.11</v>
      </c>
      <c r="L1327" s="8">
        <v>103.03</v>
      </c>
      <c r="N1327" s="8">
        <v>109.97</v>
      </c>
    </row>
    <row r="1328" spans="1:16" x14ac:dyDescent="0.35">
      <c r="A1328" s="7">
        <v>44792</v>
      </c>
      <c r="H1328" s="8">
        <v>97.48</v>
      </c>
      <c r="I1328" s="8">
        <v>98.09</v>
      </c>
      <c r="J1328" s="8">
        <v>100.46</v>
      </c>
      <c r="L1328" s="8">
        <v>105.78</v>
      </c>
      <c r="N1328" s="8">
        <v>112.92</v>
      </c>
    </row>
    <row r="1329" spans="1:14" x14ac:dyDescent="0.35">
      <c r="A1329" s="7">
        <v>44793</v>
      </c>
      <c r="H1329" s="8">
        <v>97.48</v>
      </c>
      <c r="I1329" s="8">
        <v>98.09</v>
      </c>
      <c r="J1329" s="8">
        <v>100.46</v>
      </c>
      <c r="L1329" s="8">
        <v>105.78</v>
      </c>
      <c r="N1329" s="8">
        <v>112.92</v>
      </c>
    </row>
    <row r="1330" spans="1:14" x14ac:dyDescent="0.35">
      <c r="A1330" s="7">
        <v>44794</v>
      </c>
      <c r="H1330" s="8">
        <v>97.48</v>
      </c>
      <c r="I1330" s="8">
        <v>98.09</v>
      </c>
      <c r="J1330" s="8">
        <v>100.46</v>
      </c>
      <c r="L1330" s="8">
        <v>105.78</v>
      </c>
      <c r="N1330" s="8">
        <v>112.92</v>
      </c>
    </row>
    <row r="1331" spans="1:14" x14ac:dyDescent="0.35">
      <c r="A1331" s="7">
        <v>44795</v>
      </c>
      <c r="H1331" s="8">
        <v>94.61</v>
      </c>
      <c r="I1331" s="8">
        <v>97.39</v>
      </c>
      <c r="J1331" s="8">
        <v>97.8</v>
      </c>
      <c r="L1331" s="8">
        <v>102.92</v>
      </c>
      <c r="N1331" s="8">
        <v>112.16</v>
      </c>
    </row>
    <row r="1332" spans="1:14" x14ac:dyDescent="0.35">
      <c r="A1332" s="7">
        <v>44796</v>
      </c>
      <c r="H1332" s="8">
        <v>91.08</v>
      </c>
      <c r="I1332" s="8">
        <v>92.5</v>
      </c>
      <c r="J1332" s="8">
        <v>93.8</v>
      </c>
      <c r="L1332" s="8">
        <v>99.28</v>
      </c>
      <c r="N1332" s="8">
        <v>103.91</v>
      </c>
    </row>
    <row r="1333" spans="1:14" x14ac:dyDescent="0.35">
      <c r="A1333" s="7">
        <v>44797</v>
      </c>
      <c r="H1333" s="8">
        <v>89.8</v>
      </c>
      <c r="I1333" s="8">
        <v>90.46</v>
      </c>
      <c r="J1333" s="8">
        <v>92.58</v>
      </c>
      <c r="L1333" s="8">
        <v>98.19</v>
      </c>
      <c r="N1333" s="8">
        <v>104.18</v>
      </c>
    </row>
    <row r="1334" spans="1:14" x14ac:dyDescent="0.35">
      <c r="A1334" s="7">
        <v>44798</v>
      </c>
      <c r="H1334" s="8">
        <v>88.87</v>
      </c>
      <c r="I1334" s="8">
        <v>89.48</v>
      </c>
      <c r="J1334" s="8">
        <v>91.91</v>
      </c>
      <c r="L1334" s="8">
        <v>97.24</v>
      </c>
      <c r="N1334" s="8">
        <v>104.62</v>
      </c>
    </row>
    <row r="1335" spans="1:14" x14ac:dyDescent="0.35">
      <c r="A1335" s="7">
        <v>44799</v>
      </c>
      <c r="H1335" s="8">
        <v>89.43</v>
      </c>
      <c r="I1335" s="8">
        <v>90.29</v>
      </c>
      <c r="J1335" s="8">
        <v>92.6</v>
      </c>
      <c r="L1335" s="8">
        <v>97.81</v>
      </c>
      <c r="N1335" s="8">
        <v>105.22</v>
      </c>
    </row>
    <row r="1336" spans="1:14" x14ac:dyDescent="0.35">
      <c r="A1336" s="7">
        <v>44800</v>
      </c>
      <c r="H1336" s="8">
        <v>89.43</v>
      </c>
      <c r="I1336" s="8">
        <v>90.29</v>
      </c>
      <c r="J1336" s="8">
        <v>92.6</v>
      </c>
      <c r="L1336" s="8">
        <v>97.81</v>
      </c>
      <c r="N1336" s="8">
        <v>105.22</v>
      </c>
    </row>
    <row r="1337" spans="1:14" x14ac:dyDescent="0.35">
      <c r="A1337" s="7">
        <v>44801</v>
      </c>
      <c r="H1337" s="8">
        <v>89.43</v>
      </c>
      <c r="I1337" s="8">
        <v>90.29</v>
      </c>
      <c r="J1337" s="8">
        <v>92.6</v>
      </c>
      <c r="L1337" s="8">
        <v>97.81</v>
      </c>
      <c r="N1337" s="8">
        <v>105.22</v>
      </c>
    </row>
    <row r="1338" spans="1:14" x14ac:dyDescent="0.35">
      <c r="A1338" s="7">
        <v>44802</v>
      </c>
      <c r="H1338" s="8">
        <v>86.4</v>
      </c>
      <c r="I1338" s="8">
        <v>89.27</v>
      </c>
      <c r="J1338" s="8">
        <v>91.89</v>
      </c>
      <c r="L1338" s="8">
        <v>98.1</v>
      </c>
      <c r="N1338" s="8">
        <v>105.89</v>
      </c>
    </row>
    <row r="1339" spans="1:14" x14ac:dyDescent="0.35">
      <c r="A1339" s="7">
        <v>44803</v>
      </c>
      <c r="H1339" s="8">
        <v>82.6</v>
      </c>
      <c r="I1339" s="8">
        <v>84.98</v>
      </c>
      <c r="J1339" s="8">
        <v>85.12</v>
      </c>
      <c r="L1339" s="8">
        <v>89.67</v>
      </c>
      <c r="N1339" s="8">
        <v>96.87</v>
      </c>
    </row>
    <row r="1340" spans="1:14" x14ac:dyDescent="0.35">
      <c r="A1340" s="7">
        <v>44804</v>
      </c>
      <c r="H1340" s="8">
        <v>80.23</v>
      </c>
      <c r="I1340" s="8">
        <v>80.959999999999994</v>
      </c>
      <c r="J1340" s="8">
        <v>83.42</v>
      </c>
      <c r="L1340" s="8">
        <v>88.67</v>
      </c>
      <c r="N1340" s="8">
        <v>94.9</v>
      </c>
    </row>
    <row r="1341" spans="1:14" x14ac:dyDescent="0.35">
      <c r="A1341" s="7">
        <v>44805</v>
      </c>
      <c r="H1341" s="8">
        <v>78.97</v>
      </c>
      <c r="I1341" s="8">
        <v>79.3</v>
      </c>
      <c r="J1341" s="8">
        <v>82.24</v>
      </c>
      <c r="L1341" s="8">
        <v>86.98</v>
      </c>
      <c r="N1341" s="8">
        <v>94.9</v>
      </c>
    </row>
    <row r="1342" spans="1:14" x14ac:dyDescent="0.35">
      <c r="A1342" s="7">
        <v>44806</v>
      </c>
      <c r="H1342" s="8">
        <v>78.709999999999994</v>
      </c>
      <c r="I1342" s="8">
        <v>79</v>
      </c>
      <c r="J1342" s="8">
        <v>81.73</v>
      </c>
      <c r="L1342" s="8">
        <v>86.29</v>
      </c>
      <c r="N1342" s="8">
        <v>94.9</v>
      </c>
    </row>
    <row r="1343" spans="1:14" x14ac:dyDescent="0.35">
      <c r="A1343" s="7">
        <v>44807</v>
      </c>
      <c r="H1343" s="8">
        <v>78.709999999999994</v>
      </c>
      <c r="I1343" s="8">
        <v>79</v>
      </c>
      <c r="J1343" s="8">
        <v>81.73</v>
      </c>
      <c r="L1343" s="8">
        <v>86.29</v>
      </c>
      <c r="N1343" s="8">
        <v>94.9</v>
      </c>
    </row>
    <row r="1344" spans="1:14" x14ac:dyDescent="0.35">
      <c r="A1344" s="7">
        <v>44808</v>
      </c>
      <c r="H1344" s="8">
        <v>78.709999999999994</v>
      </c>
      <c r="I1344" s="8">
        <v>79</v>
      </c>
      <c r="J1344" s="8">
        <v>81.73</v>
      </c>
      <c r="L1344" s="8">
        <v>86.29</v>
      </c>
      <c r="N1344" s="8">
        <v>94.9</v>
      </c>
    </row>
    <row r="1345" spans="1:14" x14ac:dyDescent="0.35">
      <c r="A1345" s="7">
        <v>44809</v>
      </c>
      <c r="H1345" s="8">
        <v>74.87</v>
      </c>
      <c r="I1345" s="8">
        <v>75.58</v>
      </c>
      <c r="J1345" s="8">
        <v>77.69</v>
      </c>
      <c r="L1345" s="8">
        <v>82.59</v>
      </c>
      <c r="N1345" s="8">
        <v>89.06</v>
      </c>
    </row>
    <row r="1346" spans="1:14" x14ac:dyDescent="0.35">
      <c r="A1346" s="7">
        <v>44810</v>
      </c>
      <c r="H1346" s="8">
        <v>69.989999999999995</v>
      </c>
      <c r="I1346" s="8">
        <v>72.930000000000007</v>
      </c>
      <c r="J1346" s="8">
        <v>74.13</v>
      </c>
      <c r="L1346" s="8">
        <v>80.11</v>
      </c>
      <c r="N1346" s="8">
        <v>87.22</v>
      </c>
    </row>
    <row r="1347" spans="1:14" x14ac:dyDescent="0.35">
      <c r="A1347" s="7">
        <v>44811</v>
      </c>
      <c r="H1347" s="8">
        <v>70.010000000000005</v>
      </c>
      <c r="I1347" s="8">
        <v>70.13</v>
      </c>
      <c r="J1347" s="8">
        <v>73.39</v>
      </c>
      <c r="L1347" s="8">
        <v>77.900000000000006</v>
      </c>
      <c r="N1347" s="8">
        <v>84.14</v>
      </c>
    </row>
    <row r="1348" spans="1:14" x14ac:dyDescent="0.35">
      <c r="A1348" s="7">
        <v>44812</v>
      </c>
      <c r="H1348" s="8">
        <v>67.17</v>
      </c>
      <c r="I1348" s="8">
        <v>67.790000000000006</v>
      </c>
      <c r="J1348" s="8">
        <v>69.95</v>
      </c>
      <c r="L1348" s="8">
        <v>74.680000000000007</v>
      </c>
      <c r="N1348" s="8">
        <v>81.12</v>
      </c>
    </row>
    <row r="1349" spans="1:14" x14ac:dyDescent="0.35">
      <c r="A1349" s="7">
        <v>44813</v>
      </c>
      <c r="H1349" s="8">
        <v>66.36</v>
      </c>
      <c r="I1349" s="8">
        <v>66.849999999999994</v>
      </c>
      <c r="J1349" s="8">
        <v>68.98</v>
      </c>
      <c r="L1349" s="8">
        <v>73.72</v>
      </c>
      <c r="N1349" s="8">
        <v>79.790000000000006</v>
      </c>
    </row>
    <row r="1350" spans="1:14" x14ac:dyDescent="0.35">
      <c r="A1350" s="7">
        <v>44814</v>
      </c>
      <c r="H1350" s="8">
        <v>66.36</v>
      </c>
      <c r="I1350" s="8">
        <v>66.849999999999994</v>
      </c>
      <c r="J1350" s="8">
        <v>68.98</v>
      </c>
      <c r="L1350" s="8">
        <v>73.72</v>
      </c>
      <c r="N1350" s="8">
        <v>79.790000000000006</v>
      </c>
    </row>
    <row r="1351" spans="1:14" x14ac:dyDescent="0.35">
      <c r="A1351" s="7">
        <v>44815</v>
      </c>
      <c r="H1351" s="8">
        <v>66.36</v>
      </c>
      <c r="I1351" s="8">
        <v>66.849999999999994</v>
      </c>
      <c r="J1351" s="8">
        <v>68.98</v>
      </c>
      <c r="L1351" s="8">
        <v>73.72</v>
      </c>
      <c r="N1351" s="8">
        <v>79.790000000000006</v>
      </c>
    </row>
    <row r="1352" spans="1:14" x14ac:dyDescent="0.35">
      <c r="A1352" s="7">
        <v>44816</v>
      </c>
      <c r="H1352" s="8">
        <v>68.849999999999994</v>
      </c>
      <c r="I1352" s="8">
        <v>68.41</v>
      </c>
      <c r="J1352" s="8">
        <v>70.78</v>
      </c>
      <c r="L1352" s="8">
        <v>74.75</v>
      </c>
      <c r="N1352" s="8">
        <v>80.23</v>
      </c>
    </row>
    <row r="1353" spans="1:14" x14ac:dyDescent="0.35">
      <c r="A1353" s="7">
        <v>44817</v>
      </c>
      <c r="H1353" s="8">
        <v>70.41</v>
      </c>
      <c r="I1353" s="8">
        <v>71.209999999999994</v>
      </c>
      <c r="J1353" s="8">
        <v>72.900000000000006</v>
      </c>
      <c r="L1353" s="8">
        <v>77.180000000000007</v>
      </c>
      <c r="N1353" s="8">
        <v>83.31</v>
      </c>
    </row>
    <row r="1354" spans="1:14" x14ac:dyDescent="0.35">
      <c r="A1354" s="7">
        <v>44818</v>
      </c>
      <c r="H1354" s="8">
        <v>70.78</v>
      </c>
      <c r="I1354" s="8">
        <v>70.11</v>
      </c>
      <c r="J1354" s="8">
        <v>73.2</v>
      </c>
      <c r="L1354" s="8">
        <v>77.14</v>
      </c>
      <c r="N1354" s="8">
        <v>82.37</v>
      </c>
    </row>
    <row r="1355" spans="1:14" x14ac:dyDescent="0.35">
      <c r="A1355" s="7">
        <v>44819</v>
      </c>
      <c r="H1355" s="8">
        <v>71.150000000000006</v>
      </c>
      <c r="I1355" s="8">
        <v>71.849999999999994</v>
      </c>
      <c r="J1355" s="8">
        <v>73.790000000000006</v>
      </c>
      <c r="L1355" s="8">
        <v>77.84</v>
      </c>
      <c r="N1355" s="11">
        <v>82.37</v>
      </c>
    </row>
    <row r="1356" spans="1:14" x14ac:dyDescent="0.35">
      <c r="A1356" s="7">
        <v>44820</v>
      </c>
      <c r="H1356" s="8">
        <v>72.709999999999994</v>
      </c>
      <c r="I1356" s="8">
        <v>73.52</v>
      </c>
      <c r="J1356" s="8">
        <v>75.73</v>
      </c>
      <c r="L1356" s="8">
        <v>80.290000000000006</v>
      </c>
      <c r="N1356" s="8">
        <v>86.18</v>
      </c>
    </row>
    <row r="1357" spans="1:14" x14ac:dyDescent="0.35">
      <c r="A1357" s="7">
        <v>44821</v>
      </c>
      <c r="H1357" s="8">
        <v>72.709999999999994</v>
      </c>
      <c r="I1357" s="8">
        <v>73.52</v>
      </c>
      <c r="J1357" s="8">
        <v>75.73</v>
      </c>
      <c r="L1357" s="8">
        <v>80.290000000000006</v>
      </c>
      <c r="N1357" s="8">
        <v>86.18</v>
      </c>
    </row>
    <row r="1358" spans="1:14" x14ac:dyDescent="0.35">
      <c r="A1358" s="7">
        <v>44822</v>
      </c>
      <c r="H1358" s="8">
        <v>72.709999999999994</v>
      </c>
      <c r="I1358" s="8">
        <v>73.52</v>
      </c>
      <c r="J1358" s="8">
        <v>75.73</v>
      </c>
      <c r="L1358" s="8">
        <v>80.290000000000006</v>
      </c>
      <c r="N1358" s="8">
        <v>86.18</v>
      </c>
    </row>
    <row r="1359" spans="1:14" x14ac:dyDescent="0.35">
      <c r="A1359" s="7">
        <v>44823</v>
      </c>
      <c r="H1359" s="8">
        <v>71.11</v>
      </c>
      <c r="I1359" s="8">
        <v>72.42</v>
      </c>
      <c r="J1359" s="8">
        <v>73.91</v>
      </c>
      <c r="L1359" s="8">
        <v>78.52</v>
      </c>
      <c r="N1359" s="8">
        <v>83.91</v>
      </c>
    </row>
    <row r="1360" spans="1:14" x14ac:dyDescent="0.35">
      <c r="A1360" s="7">
        <v>44824</v>
      </c>
      <c r="H1360" s="8">
        <v>71.48</v>
      </c>
      <c r="I1360" s="8">
        <v>71.75</v>
      </c>
      <c r="J1360" s="8">
        <v>74.53</v>
      </c>
      <c r="L1360" s="8">
        <v>79.14</v>
      </c>
      <c r="N1360" s="8">
        <v>84.24</v>
      </c>
    </row>
    <row r="1361" spans="1:14" x14ac:dyDescent="0.35">
      <c r="A1361" s="7">
        <v>44825</v>
      </c>
      <c r="H1361" s="8">
        <v>70.040000000000006</v>
      </c>
      <c r="I1361" s="8">
        <v>70.75</v>
      </c>
      <c r="J1361" s="8">
        <v>72.98</v>
      </c>
      <c r="L1361" s="8">
        <v>77.61</v>
      </c>
      <c r="N1361" s="8">
        <v>83.32</v>
      </c>
    </row>
    <row r="1362" spans="1:14" x14ac:dyDescent="0.35">
      <c r="A1362" s="7">
        <v>44826</v>
      </c>
      <c r="H1362" s="8">
        <v>70.19</v>
      </c>
      <c r="I1362" s="8">
        <v>70.8</v>
      </c>
      <c r="J1362" s="8">
        <v>73.37</v>
      </c>
      <c r="L1362" s="8">
        <v>77.91</v>
      </c>
      <c r="N1362" s="8">
        <v>83.58</v>
      </c>
    </row>
    <row r="1363" spans="1:14" x14ac:dyDescent="0.35">
      <c r="A1363" s="7">
        <v>44827</v>
      </c>
      <c r="H1363" s="8">
        <v>67.349999999999994</v>
      </c>
      <c r="I1363" s="8">
        <v>67.62</v>
      </c>
      <c r="J1363" s="8">
        <v>70.39</v>
      </c>
      <c r="L1363" s="8">
        <v>74.290000000000006</v>
      </c>
      <c r="N1363" s="8">
        <v>80.09</v>
      </c>
    </row>
    <row r="1364" spans="1:14" x14ac:dyDescent="0.35">
      <c r="A1364" s="7">
        <v>44828</v>
      </c>
      <c r="H1364" s="8">
        <v>67.349999999999994</v>
      </c>
      <c r="I1364" s="8">
        <v>67.62</v>
      </c>
      <c r="J1364" s="8">
        <v>70.39</v>
      </c>
      <c r="L1364" s="8">
        <v>74.290000000000006</v>
      </c>
      <c r="N1364" s="8">
        <v>80.09</v>
      </c>
    </row>
    <row r="1365" spans="1:14" x14ac:dyDescent="0.35">
      <c r="A1365" s="7">
        <v>44829</v>
      </c>
      <c r="H1365" s="8">
        <v>67.349999999999994</v>
      </c>
      <c r="I1365" s="8">
        <v>67.62</v>
      </c>
      <c r="J1365" s="8">
        <v>70.39</v>
      </c>
      <c r="L1365" s="8">
        <v>74.290000000000006</v>
      </c>
      <c r="N1365" s="8">
        <v>80.09</v>
      </c>
    </row>
    <row r="1366" spans="1:14" x14ac:dyDescent="0.35">
      <c r="A1366" s="7">
        <v>44830</v>
      </c>
      <c r="H1366" s="8">
        <v>67.52</v>
      </c>
      <c r="I1366" s="8">
        <v>67.290000000000006</v>
      </c>
      <c r="J1366" s="8">
        <v>69.930000000000007</v>
      </c>
      <c r="L1366" s="8">
        <v>74.34</v>
      </c>
      <c r="N1366" s="8">
        <v>79.22</v>
      </c>
    </row>
    <row r="1367" spans="1:14" x14ac:dyDescent="0.35">
      <c r="A1367" s="7">
        <v>44831</v>
      </c>
      <c r="H1367" s="8">
        <v>68.22</v>
      </c>
      <c r="I1367" s="8">
        <v>68.78</v>
      </c>
      <c r="J1367" s="8">
        <v>71.08</v>
      </c>
      <c r="L1367" s="8">
        <v>75.48</v>
      </c>
      <c r="N1367" s="8">
        <v>81.02</v>
      </c>
    </row>
    <row r="1368" spans="1:14" x14ac:dyDescent="0.35">
      <c r="A1368" s="7">
        <v>44832</v>
      </c>
      <c r="H1368" s="8">
        <v>65.48</v>
      </c>
      <c r="I1368" s="8">
        <v>66.83</v>
      </c>
      <c r="J1368" s="8">
        <v>68.34</v>
      </c>
      <c r="L1368" s="8">
        <v>73.25</v>
      </c>
      <c r="N1368" s="8">
        <v>78.67</v>
      </c>
    </row>
    <row r="1369" spans="1:14" x14ac:dyDescent="0.35">
      <c r="A1369" s="7">
        <v>44833</v>
      </c>
      <c r="H1369" s="8">
        <v>65.180000000000007</v>
      </c>
      <c r="I1369" s="8">
        <v>65.52</v>
      </c>
      <c r="J1369" s="8">
        <v>67.94</v>
      </c>
      <c r="L1369" s="8">
        <v>72.27</v>
      </c>
      <c r="N1369" s="8">
        <v>78.02</v>
      </c>
    </row>
    <row r="1370" spans="1:14" x14ac:dyDescent="0.35">
      <c r="A1370" s="7">
        <v>44834</v>
      </c>
      <c r="H1370" s="8">
        <v>66.94</v>
      </c>
      <c r="I1370" s="8">
        <v>67.819999999999993</v>
      </c>
      <c r="J1370" s="8">
        <v>69.8</v>
      </c>
      <c r="L1370" s="8">
        <v>74.680000000000007</v>
      </c>
      <c r="N1370" s="8">
        <v>80.78</v>
      </c>
    </row>
    <row r="1371" spans="1:14" x14ac:dyDescent="0.35">
      <c r="A1371" s="7">
        <v>44835</v>
      </c>
      <c r="H1371" s="8">
        <v>66.94</v>
      </c>
      <c r="I1371" s="8">
        <v>67.819999999999993</v>
      </c>
      <c r="J1371" s="8">
        <v>69.8</v>
      </c>
      <c r="L1371" s="8">
        <v>74.680000000000007</v>
      </c>
      <c r="N1371" s="8">
        <v>80.78</v>
      </c>
    </row>
    <row r="1372" spans="1:14" x14ac:dyDescent="0.35">
      <c r="A1372" s="7">
        <v>44836</v>
      </c>
      <c r="H1372" s="8">
        <v>66.94</v>
      </c>
      <c r="I1372" s="8">
        <v>67.819999999999993</v>
      </c>
      <c r="J1372" s="8">
        <v>69.8</v>
      </c>
      <c r="L1372" s="8">
        <v>74.680000000000007</v>
      </c>
      <c r="N1372" s="8">
        <v>80.78</v>
      </c>
    </row>
    <row r="1373" spans="1:14" x14ac:dyDescent="0.35">
      <c r="A1373" s="7">
        <v>44837</v>
      </c>
      <c r="H1373" s="8">
        <v>65.209999999999994</v>
      </c>
      <c r="I1373" s="8">
        <v>65.98</v>
      </c>
      <c r="J1373" s="8">
        <v>68.11</v>
      </c>
      <c r="L1373" s="8">
        <v>72.459999999999994</v>
      </c>
      <c r="N1373" s="8">
        <v>78.58</v>
      </c>
    </row>
    <row r="1374" spans="1:14" x14ac:dyDescent="0.35">
      <c r="A1374" s="7">
        <v>44838</v>
      </c>
      <c r="H1374" s="8">
        <v>66.849999999999994</v>
      </c>
      <c r="I1374" s="8">
        <v>67.319999999999993</v>
      </c>
      <c r="J1374" s="8">
        <v>69.27</v>
      </c>
      <c r="L1374" s="8">
        <v>73.599999999999994</v>
      </c>
      <c r="N1374" s="8">
        <v>79.010000000000005</v>
      </c>
    </row>
    <row r="1375" spans="1:14" x14ac:dyDescent="0.35">
      <c r="A1375" s="7">
        <v>44839</v>
      </c>
      <c r="H1375" s="8">
        <v>69.06</v>
      </c>
      <c r="I1375" s="8">
        <v>69.13</v>
      </c>
      <c r="J1375" s="8">
        <v>71.430000000000007</v>
      </c>
      <c r="L1375" s="8">
        <v>76.8</v>
      </c>
      <c r="N1375" s="8">
        <v>82.65</v>
      </c>
    </row>
    <row r="1376" spans="1:14" x14ac:dyDescent="0.35">
      <c r="A1376" s="7">
        <v>44840</v>
      </c>
      <c r="H1376" s="8">
        <v>67.739999999999995</v>
      </c>
      <c r="I1376" s="8">
        <v>68.33</v>
      </c>
      <c r="J1376" s="8">
        <v>70.489999999999995</v>
      </c>
      <c r="L1376" s="8">
        <v>75.099999999999994</v>
      </c>
      <c r="N1376" s="8">
        <v>81.27</v>
      </c>
    </row>
    <row r="1377" spans="1:14" x14ac:dyDescent="0.35">
      <c r="A1377" s="7">
        <v>44841</v>
      </c>
      <c r="H1377" s="8">
        <v>69.09</v>
      </c>
      <c r="I1377" s="8">
        <v>69.95</v>
      </c>
      <c r="J1377" s="8">
        <v>71.709999999999994</v>
      </c>
      <c r="L1377" s="8">
        <v>75.78</v>
      </c>
      <c r="N1377" s="8">
        <v>81.7</v>
      </c>
    </row>
    <row r="1378" spans="1:14" x14ac:dyDescent="0.35">
      <c r="A1378" s="7">
        <v>44842</v>
      </c>
      <c r="H1378" s="8">
        <v>69.09</v>
      </c>
      <c r="I1378" s="8">
        <v>69.95</v>
      </c>
      <c r="J1378" s="8">
        <v>71.709999999999994</v>
      </c>
      <c r="L1378" s="8">
        <v>75.78</v>
      </c>
      <c r="N1378" s="8">
        <v>81.7</v>
      </c>
    </row>
    <row r="1379" spans="1:14" x14ac:dyDescent="0.35">
      <c r="A1379" s="7">
        <v>44843</v>
      </c>
      <c r="H1379" s="8">
        <v>69.09</v>
      </c>
      <c r="I1379" s="8">
        <v>69.95</v>
      </c>
      <c r="J1379" s="8">
        <v>71.709999999999994</v>
      </c>
      <c r="L1379" s="8">
        <v>75.78</v>
      </c>
      <c r="N1379" s="8">
        <v>81.7</v>
      </c>
    </row>
    <row r="1380" spans="1:14" x14ac:dyDescent="0.35">
      <c r="A1380" s="7">
        <v>44844</v>
      </c>
      <c r="H1380" s="8">
        <v>67.14</v>
      </c>
      <c r="I1380" s="8">
        <v>67.91</v>
      </c>
      <c r="J1380" s="8">
        <v>69.599999999999994</v>
      </c>
      <c r="L1380" s="8">
        <v>74.56</v>
      </c>
      <c r="N1380" s="8">
        <v>81.05</v>
      </c>
    </row>
    <row r="1381" spans="1:14" x14ac:dyDescent="0.35">
      <c r="A1381" s="7">
        <v>44845</v>
      </c>
      <c r="H1381" s="8">
        <v>66.319999999999993</v>
      </c>
      <c r="I1381" s="8">
        <v>67.040000000000006</v>
      </c>
      <c r="J1381" s="8">
        <v>68.91</v>
      </c>
      <c r="L1381" s="8">
        <v>73.569999999999993</v>
      </c>
      <c r="N1381" s="8">
        <v>79.39</v>
      </c>
    </row>
    <row r="1382" spans="1:14" x14ac:dyDescent="0.35">
      <c r="A1382" s="7">
        <v>44846</v>
      </c>
      <c r="H1382" s="8">
        <v>66.599999999999994</v>
      </c>
      <c r="I1382" s="8">
        <v>67.09</v>
      </c>
      <c r="J1382" s="8">
        <v>69.099999999999994</v>
      </c>
      <c r="L1382" s="8">
        <v>74.290000000000006</v>
      </c>
      <c r="N1382" s="8">
        <v>79.92</v>
      </c>
    </row>
    <row r="1383" spans="1:14" x14ac:dyDescent="0.35">
      <c r="A1383" s="7">
        <v>44847</v>
      </c>
      <c r="H1383" s="8">
        <v>67.81</v>
      </c>
      <c r="I1383" s="8">
        <v>67.52</v>
      </c>
      <c r="J1383" s="8">
        <v>70.31</v>
      </c>
      <c r="L1383" s="8">
        <v>74.349999999999994</v>
      </c>
      <c r="N1383" s="8">
        <v>80.78</v>
      </c>
    </row>
    <row r="1384" spans="1:14" x14ac:dyDescent="0.35">
      <c r="A1384" s="7">
        <v>44848</v>
      </c>
      <c r="H1384" s="8">
        <v>67.33</v>
      </c>
      <c r="I1384" s="8">
        <v>68.47</v>
      </c>
      <c r="J1384" s="8">
        <v>70.42</v>
      </c>
      <c r="L1384" s="8">
        <v>75.03</v>
      </c>
      <c r="N1384" s="8">
        <v>81.2</v>
      </c>
    </row>
    <row r="1385" spans="1:14" x14ac:dyDescent="0.35">
      <c r="A1385" s="7">
        <v>44849</v>
      </c>
      <c r="H1385" s="8">
        <v>67.33</v>
      </c>
      <c r="I1385" s="8">
        <v>68.47</v>
      </c>
      <c r="J1385" s="8">
        <v>70.42</v>
      </c>
      <c r="L1385" s="8">
        <v>75.03</v>
      </c>
      <c r="N1385" s="8">
        <v>81.2</v>
      </c>
    </row>
    <row r="1386" spans="1:14" x14ac:dyDescent="0.35">
      <c r="A1386" s="7">
        <v>44850</v>
      </c>
      <c r="H1386" s="8">
        <v>67.33</v>
      </c>
      <c r="I1386" s="8">
        <v>68.47</v>
      </c>
      <c r="J1386" s="8">
        <v>70.42</v>
      </c>
      <c r="L1386" s="8">
        <v>75.03</v>
      </c>
      <c r="N1386" s="8">
        <v>81.2</v>
      </c>
    </row>
    <row r="1387" spans="1:14" x14ac:dyDescent="0.35">
      <c r="A1387" s="7">
        <v>44851</v>
      </c>
      <c r="H1387" s="8">
        <v>67.459999999999994</v>
      </c>
      <c r="I1387" s="8">
        <v>68.17</v>
      </c>
      <c r="J1387" s="8">
        <v>70.099999999999994</v>
      </c>
      <c r="L1387" s="8">
        <v>74.47</v>
      </c>
      <c r="N1387" s="8">
        <v>81</v>
      </c>
    </row>
    <row r="1388" spans="1:14" x14ac:dyDescent="0.35">
      <c r="A1388" s="7">
        <v>44852</v>
      </c>
      <c r="H1388" s="8">
        <v>67.28</v>
      </c>
      <c r="I1388" s="8">
        <v>68.03</v>
      </c>
      <c r="J1388" s="8">
        <v>69.819999999999993</v>
      </c>
      <c r="L1388" s="8">
        <v>74.28</v>
      </c>
      <c r="N1388" s="8">
        <v>80.739999999999995</v>
      </c>
    </row>
    <row r="1389" spans="1:14" x14ac:dyDescent="0.35">
      <c r="A1389" s="7">
        <v>44853</v>
      </c>
      <c r="H1389" s="8">
        <v>67.930000000000007</v>
      </c>
      <c r="I1389" s="8">
        <v>68.34</v>
      </c>
      <c r="J1389" s="8">
        <v>70.81</v>
      </c>
      <c r="L1389" s="8">
        <v>75.2</v>
      </c>
      <c r="N1389" s="8">
        <v>80.319999999999993</v>
      </c>
    </row>
    <row r="1390" spans="1:14" x14ac:dyDescent="0.35">
      <c r="A1390" s="7">
        <v>44854</v>
      </c>
      <c r="H1390" s="8">
        <v>67</v>
      </c>
      <c r="I1390" s="8">
        <v>67.680000000000007</v>
      </c>
      <c r="J1390" s="8">
        <v>69.81</v>
      </c>
      <c r="L1390" s="8">
        <v>73.88</v>
      </c>
      <c r="N1390" s="8">
        <v>80.02</v>
      </c>
    </row>
    <row r="1391" spans="1:14" x14ac:dyDescent="0.35">
      <c r="A1391" s="7">
        <v>44855</v>
      </c>
      <c r="H1391" s="8">
        <v>67.97</v>
      </c>
      <c r="I1391" s="8">
        <v>68.180000000000007</v>
      </c>
      <c r="J1391" s="8">
        <v>70.650000000000006</v>
      </c>
      <c r="L1391" s="8">
        <v>74.77</v>
      </c>
      <c r="N1391" s="8">
        <v>80.47</v>
      </c>
    </row>
    <row r="1392" spans="1:14" x14ac:dyDescent="0.35">
      <c r="A1392" s="7">
        <v>44856</v>
      </c>
      <c r="H1392" s="8">
        <v>67.97</v>
      </c>
      <c r="I1392" s="8">
        <v>68.180000000000007</v>
      </c>
      <c r="J1392" s="8">
        <v>70.650000000000006</v>
      </c>
      <c r="L1392" s="8">
        <v>74.77</v>
      </c>
      <c r="N1392" s="8">
        <v>80.47</v>
      </c>
    </row>
    <row r="1393" spans="1:14" x14ac:dyDescent="0.35">
      <c r="A1393" s="7">
        <v>44857</v>
      </c>
      <c r="H1393" s="8">
        <v>67.97</v>
      </c>
      <c r="I1393" s="8">
        <v>68.180000000000007</v>
      </c>
      <c r="J1393" s="8">
        <v>70.650000000000006</v>
      </c>
      <c r="L1393" s="8">
        <v>74.77</v>
      </c>
      <c r="N1393" s="8">
        <v>80.47</v>
      </c>
    </row>
    <row r="1394" spans="1:14" x14ac:dyDescent="0.35">
      <c r="A1394" s="7">
        <v>44858</v>
      </c>
      <c r="H1394" s="8">
        <v>70.040000000000006</v>
      </c>
      <c r="I1394" s="8">
        <v>69.89</v>
      </c>
      <c r="J1394" s="8">
        <v>73.03</v>
      </c>
      <c r="L1394" s="8">
        <v>79.040000000000006</v>
      </c>
      <c r="N1394" s="8">
        <v>82.3</v>
      </c>
    </row>
    <row r="1395" spans="1:14" x14ac:dyDescent="0.35">
      <c r="A1395" s="7">
        <v>44859</v>
      </c>
      <c r="H1395" s="8">
        <v>75.430000000000007</v>
      </c>
      <c r="I1395" s="8">
        <v>75.48</v>
      </c>
      <c r="J1395" s="8">
        <v>78.84</v>
      </c>
      <c r="L1395" s="8">
        <v>83.92</v>
      </c>
      <c r="N1395" s="8">
        <v>90.03</v>
      </c>
    </row>
    <row r="1396" spans="1:14" x14ac:dyDescent="0.35">
      <c r="A1396" s="7">
        <v>44860</v>
      </c>
      <c r="H1396" s="8">
        <v>76.75</v>
      </c>
      <c r="I1396" s="8">
        <v>77.48</v>
      </c>
      <c r="J1396" s="8">
        <v>79.8</v>
      </c>
      <c r="L1396" s="8">
        <v>83.98</v>
      </c>
      <c r="N1396" s="8">
        <v>89.99</v>
      </c>
    </row>
    <row r="1397" spans="1:14" x14ac:dyDescent="0.35">
      <c r="A1397" s="7">
        <v>44861</v>
      </c>
      <c r="H1397" s="8">
        <v>78.69</v>
      </c>
      <c r="I1397" s="8">
        <v>78.849999999999994</v>
      </c>
      <c r="J1397" s="8">
        <v>81.88</v>
      </c>
      <c r="L1397" s="8">
        <v>87.13</v>
      </c>
      <c r="N1397" s="8">
        <v>93.11</v>
      </c>
    </row>
    <row r="1398" spans="1:14" x14ac:dyDescent="0.35">
      <c r="A1398" s="7">
        <v>44862</v>
      </c>
      <c r="H1398" s="8">
        <v>81.459999999999994</v>
      </c>
      <c r="I1398" s="8">
        <v>81.87</v>
      </c>
      <c r="J1398" s="8">
        <v>84.52</v>
      </c>
      <c r="L1398" s="8">
        <v>89.25</v>
      </c>
      <c r="N1398" s="8">
        <v>94.94</v>
      </c>
    </row>
    <row r="1399" spans="1:14" x14ac:dyDescent="0.35">
      <c r="A1399" s="7">
        <v>44863</v>
      </c>
      <c r="H1399" s="8">
        <v>81.459999999999994</v>
      </c>
      <c r="I1399" s="8">
        <v>81.87</v>
      </c>
      <c r="J1399" s="8">
        <v>84.52</v>
      </c>
      <c r="L1399" s="8">
        <v>89.25</v>
      </c>
      <c r="N1399" s="8">
        <v>94.94</v>
      </c>
    </row>
    <row r="1400" spans="1:14" x14ac:dyDescent="0.35">
      <c r="A1400" s="7">
        <v>44864</v>
      </c>
      <c r="H1400" s="8">
        <v>81.459999999999994</v>
      </c>
      <c r="I1400" s="8">
        <v>81.87</v>
      </c>
      <c r="J1400" s="8">
        <v>84.52</v>
      </c>
      <c r="L1400" s="8">
        <v>89.25</v>
      </c>
      <c r="N1400" s="8">
        <v>94.94</v>
      </c>
    </row>
    <row r="1401" spans="1:14" x14ac:dyDescent="0.35">
      <c r="A1401" s="7">
        <v>44865</v>
      </c>
      <c r="H1401" s="8">
        <v>79.569999999999993</v>
      </c>
      <c r="I1401" s="8">
        <v>80.56</v>
      </c>
      <c r="J1401" s="8">
        <v>82.51</v>
      </c>
      <c r="L1401" s="8">
        <v>87.01</v>
      </c>
      <c r="N1401" s="8">
        <v>92.61</v>
      </c>
    </row>
    <row r="1402" spans="1:14" x14ac:dyDescent="0.35">
      <c r="A1402" s="7">
        <v>44866</v>
      </c>
      <c r="H1402" s="8">
        <v>77.540000000000006</v>
      </c>
      <c r="I1402" s="8">
        <v>80.56</v>
      </c>
      <c r="J1402" s="8">
        <v>80.39</v>
      </c>
      <c r="L1402" s="8">
        <v>85.82</v>
      </c>
      <c r="N1402" s="8">
        <v>92.17</v>
      </c>
    </row>
    <row r="1403" spans="1:14" x14ac:dyDescent="0.35">
      <c r="A1403" s="7">
        <v>44867</v>
      </c>
      <c r="H1403" s="8">
        <v>77.05</v>
      </c>
      <c r="I1403" s="8">
        <v>78.569999999999993</v>
      </c>
      <c r="J1403" s="8">
        <v>80.010000000000005</v>
      </c>
      <c r="L1403" s="8">
        <v>84.37</v>
      </c>
      <c r="N1403" s="8">
        <v>90.25</v>
      </c>
    </row>
    <row r="1404" spans="1:14" x14ac:dyDescent="0.35">
      <c r="A1404" s="7">
        <v>44868</v>
      </c>
      <c r="H1404" s="8">
        <v>76.41</v>
      </c>
      <c r="I1404" s="8">
        <v>77.08</v>
      </c>
      <c r="J1404" s="8">
        <v>79.459999999999994</v>
      </c>
      <c r="L1404" s="8">
        <v>83.66</v>
      </c>
      <c r="N1404" s="8">
        <v>89.88</v>
      </c>
    </row>
    <row r="1405" spans="1:14" x14ac:dyDescent="0.35">
      <c r="A1405" s="7">
        <v>44869</v>
      </c>
      <c r="H1405" s="8">
        <v>77.819999999999993</v>
      </c>
      <c r="I1405" s="8">
        <v>79.23</v>
      </c>
      <c r="J1405" s="8">
        <v>81.069999999999993</v>
      </c>
      <c r="L1405" s="8">
        <v>85.66</v>
      </c>
      <c r="N1405" s="8">
        <v>90.1</v>
      </c>
    </row>
    <row r="1406" spans="1:14" x14ac:dyDescent="0.35">
      <c r="A1406" s="7">
        <v>44870</v>
      </c>
      <c r="H1406" s="8">
        <v>77.819999999999993</v>
      </c>
      <c r="I1406" s="8">
        <v>79.23</v>
      </c>
      <c r="J1406" s="8">
        <v>81.069999999999993</v>
      </c>
      <c r="L1406" s="8">
        <v>85.66</v>
      </c>
      <c r="N1406" s="8">
        <v>90.1</v>
      </c>
    </row>
    <row r="1407" spans="1:14" x14ac:dyDescent="0.35">
      <c r="A1407" s="7">
        <v>44871</v>
      </c>
      <c r="H1407" s="8">
        <v>77.819999999999993</v>
      </c>
      <c r="I1407" s="8">
        <v>79.23</v>
      </c>
      <c r="J1407" s="8">
        <v>81.069999999999993</v>
      </c>
      <c r="L1407" s="8">
        <v>85.66</v>
      </c>
      <c r="N1407" s="8">
        <v>90.1</v>
      </c>
    </row>
    <row r="1408" spans="1:14" x14ac:dyDescent="0.35">
      <c r="A1408" s="7">
        <v>44872</v>
      </c>
      <c r="H1408" s="8">
        <v>76.790000000000006</v>
      </c>
      <c r="I1408" s="8">
        <v>77.12</v>
      </c>
      <c r="J1408" s="8">
        <v>80.05</v>
      </c>
      <c r="L1408" s="8">
        <v>84.47</v>
      </c>
      <c r="N1408" s="8">
        <v>89.55</v>
      </c>
    </row>
    <row r="1409" spans="1:14" x14ac:dyDescent="0.35">
      <c r="A1409" s="7">
        <v>44873</v>
      </c>
      <c r="H1409" s="8">
        <v>76.28</v>
      </c>
      <c r="I1409" s="8">
        <v>77.010000000000005</v>
      </c>
      <c r="J1409" s="8">
        <v>79.540000000000006</v>
      </c>
      <c r="L1409" s="8">
        <v>83.9</v>
      </c>
      <c r="N1409" s="8">
        <v>88.99</v>
      </c>
    </row>
    <row r="1410" spans="1:14" x14ac:dyDescent="0.35">
      <c r="A1410" s="7">
        <v>44874</v>
      </c>
      <c r="H1410" s="8">
        <v>74.260000000000005</v>
      </c>
      <c r="I1410" s="8">
        <v>76.05</v>
      </c>
      <c r="J1410" s="8">
        <v>77.5</v>
      </c>
      <c r="L1410" s="8">
        <v>81.599999999999994</v>
      </c>
      <c r="N1410" s="8">
        <v>87.24</v>
      </c>
    </row>
    <row r="1411" spans="1:14" x14ac:dyDescent="0.35">
      <c r="A1411" s="7">
        <v>44875</v>
      </c>
      <c r="H1411" s="8">
        <v>72.3</v>
      </c>
      <c r="I1411" s="8">
        <v>72.209999999999994</v>
      </c>
      <c r="J1411" s="25">
        <v>75.510000000000005</v>
      </c>
      <c r="L1411" s="25">
        <v>79.790000000000006</v>
      </c>
      <c r="N1411" s="8">
        <v>85.06</v>
      </c>
    </row>
    <row r="1412" spans="1:14" x14ac:dyDescent="0.35">
      <c r="A1412" s="7">
        <v>44876</v>
      </c>
      <c r="H1412" s="8">
        <v>74.930000000000007</v>
      </c>
      <c r="I1412" s="8">
        <v>75.72</v>
      </c>
      <c r="J1412" s="8">
        <v>77.84</v>
      </c>
      <c r="L1412" s="25">
        <v>81.87</v>
      </c>
      <c r="N1412" s="25">
        <v>87.76</v>
      </c>
    </row>
    <row r="1413" spans="1:14" x14ac:dyDescent="0.35">
      <c r="A1413" s="7">
        <v>44877</v>
      </c>
      <c r="H1413" s="8">
        <v>74.930000000000007</v>
      </c>
      <c r="I1413" s="8">
        <v>75.72</v>
      </c>
      <c r="J1413" s="8">
        <v>77.84</v>
      </c>
      <c r="L1413" s="8">
        <v>81.87</v>
      </c>
      <c r="N1413" s="8">
        <v>87.76</v>
      </c>
    </row>
    <row r="1414" spans="1:14" x14ac:dyDescent="0.35">
      <c r="A1414" s="7">
        <v>44878</v>
      </c>
      <c r="H1414" s="8">
        <v>74.930000000000007</v>
      </c>
      <c r="I1414" s="8">
        <v>75.72</v>
      </c>
      <c r="J1414" s="8">
        <v>77.84</v>
      </c>
      <c r="L1414" s="8">
        <v>81.87</v>
      </c>
      <c r="N1414" s="8">
        <v>87.76</v>
      </c>
    </row>
    <row r="1415" spans="1:14" x14ac:dyDescent="0.35">
      <c r="A1415" s="7">
        <v>44879</v>
      </c>
      <c r="H1415" s="8">
        <v>75.05</v>
      </c>
      <c r="I1415" s="8">
        <v>75.73</v>
      </c>
      <c r="J1415" s="8">
        <v>78.180000000000007</v>
      </c>
      <c r="L1415" s="8">
        <v>81.849999999999994</v>
      </c>
      <c r="N1415" s="8">
        <v>86.56</v>
      </c>
    </row>
    <row r="1416" spans="1:14" x14ac:dyDescent="0.35">
      <c r="A1416" s="7">
        <v>44880</v>
      </c>
      <c r="H1416" s="8">
        <v>75.290000000000006</v>
      </c>
      <c r="I1416" s="8">
        <v>75.67</v>
      </c>
      <c r="J1416" s="8">
        <v>78.75</v>
      </c>
      <c r="L1416" s="8">
        <v>81.99</v>
      </c>
      <c r="N1416" s="8">
        <v>86.72</v>
      </c>
    </row>
    <row r="1417" spans="1:14" x14ac:dyDescent="0.35">
      <c r="A1417" s="7">
        <v>44881</v>
      </c>
      <c r="H1417" s="8">
        <v>74.28</v>
      </c>
      <c r="I1417" s="8">
        <v>75.069999999999993</v>
      </c>
      <c r="J1417" s="8">
        <v>77.72</v>
      </c>
      <c r="L1417" s="8">
        <v>80.69</v>
      </c>
      <c r="N1417" s="8">
        <v>85.44</v>
      </c>
    </row>
    <row r="1418" spans="1:14" x14ac:dyDescent="0.35">
      <c r="A1418" s="7">
        <v>44882</v>
      </c>
      <c r="H1418" s="8">
        <v>73.11</v>
      </c>
      <c r="I1418" s="8">
        <v>73.69</v>
      </c>
      <c r="J1418" s="8">
        <v>76.38</v>
      </c>
      <c r="L1418" s="8">
        <v>80.34</v>
      </c>
      <c r="N1418" s="8">
        <v>84.68</v>
      </c>
    </row>
    <row r="1419" spans="1:14" x14ac:dyDescent="0.35">
      <c r="A1419" s="7">
        <v>44883</v>
      </c>
      <c r="H1419" s="8">
        <v>72.8</v>
      </c>
      <c r="I1419" s="8">
        <v>73.7</v>
      </c>
      <c r="J1419" s="8">
        <v>75.98</v>
      </c>
      <c r="L1419" s="8">
        <v>79.489999999999995</v>
      </c>
      <c r="N1419" s="8">
        <v>85.3</v>
      </c>
    </row>
    <row r="1420" spans="1:14" x14ac:dyDescent="0.35">
      <c r="A1420" s="7">
        <v>44884</v>
      </c>
      <c r="H1420" s="8">
        <v>72.8</v>
      </c>
      <c r="I1420" s="8">
        <v>73.7</v>
      </c>
      <c r="J1420" s="8">
        <v>75.98</v>
      </c>
      <c r="L1420" s="8">
        <v>79.489999999999995</v>
      </c>
      <c r="N1420" s="8">
        <v>85.3</v>
      </c>
    </row>
    <row r="1421" spans="1:14" x14ac:dyDescent="0.35">
      <c r="A1421" s="7">
        <v>44885</v>
      </c>
      <c r="H1421" s="8">
        <v>72.8</v>
      </c>
      <c r="I1421" s="8">
        <v>73.7</v>
      </c>
      <c r="J1421" s="8">
        <v>75.98</v>
      </c>
      <c r="L1421" s="8">
        <v>79.489999999999995</v>
      </c>
      <c r="N1421" s="8">
        <v>85.3</v>
      </c>
    </row>
    <row r="1422" spans="1:14" x14ac:dyDescent="0.35">
      <c r="A1422" s="7">
        <v>44886</v>
      </c>
      <c r="H1422" s="8">
        <v>74.14</v>
      </c>
      <c r="I1422" s="8">
        <v>75.48</v>
      </c>
      <c r="J1422" s="8">
        <v>77.12</v>
      </c>
      <c r="L1422" s="8">
        <v>81.47</v>
      </c>
      <c r="N1422" s="8">
        <v>86.19</v>
      </c>
    </row>
    <row r="1423" spans="1:14" x14ac:dyDescent="0.35">
      <c r="A1423" s="7">
        <v>44887</v>
      </c>
      <c r="H1423" s="8">
        <v>73.98</v>
      </c>
      <c r="I1423" s="8">
        <v>74.760000000000005</v>
      </c>
      <c r="J1423" s="8">
        <v>77.12</v>
      </c>
      <c r="L1423" s="8">
        <v>81.02</v>
      </c>
      <c r="N1423" s="8">
        <v>86.13</v>
      </c>
    </row>
    <row r="1424" spans="1:14" x14ac:dyDescent="0.35">
      <c r="A1424" s="7">
        <v>44888</v>
      </c>
      <c r="H1424" s="8">
        <v>75.47</v>
      </c>
      <c r="I1424" s="8">
        <v>75.7</v>
      </c>
      <c r="J1424" s="8">
        <v>78.459999999999994</v>
      </c>
      <c r="L1424" s="8">
        <v>82.59</v>
      </c>
      <c r="N1424" s="8">
        <v>87.7</v>
      </c>
    </row>
    <row r="1425" spans="1:16" x14ac:dyDescent="0.35">
      <c r="A1425" s="7">
        <v>44889</v>
      </c>
      <c r="H1425" s="8">
        <v>77.19</v>
      </c>
      <c r="I1425" s="8">
        <v>77.87</v>
      </c>
      <c r="J1425" s="8">
        <v>80.010000000000005</v>
      </c>
      <c r="L1425" s="8">
        <v>83.67</v>
      </c>
      <c r="N1425" s="8">
        <v>88.75</v>
      </c>
    </row>
    <row r="1426" spans="1:16" x14ac:dyDescent="0.35">
      <c r="A1426" s="7">
        <v>44890</v>
      </c>
      <c r="H1426" s="8">
        <v>78.92</v>
      </c>
      <c r="I1426" s="8">
        <v>79.760000000000005</v>
      </c>
      <c r="J1426" s="8">
        <v>82.09</v>
      </c>
      <c r="L1426" s="8">
        <v>86.11</v>
      </c>
      <c r="N1426" s="8">
        <v>90.23</v>
      </c>
    </row>
    <row r="1427" spans="1:16" x14ac:dyDescent="0.35">
      <c r="A1427" s="7">
        <v>44891</v>
      </c>
      <c r="H1427" s="8">
        <v>78.92</v>
      </c>
      <c r="I1427" s="8">
        <v>79.760000000000005</v>
      </c>
      <c r="J1427" s="8">
        <v>82.09</v>
      </c>
      <c r="L1427" s="8">
        <v>86.11</v>
      </c>
      <c r="N1427" s="8">
        <v>90.23</v>
      </c>
    </row>
    <row r="1428" spans="1:16" x14ac:dyDescent="0.35">
      <c r="A1428" s="7">
        <v>44892</v>
      </c>
      <c r="H1428" s="8">
        <v>78.92</v>
      </c>
      <c r="I1428" s="8">
        <v>79.760000000000005</v>
      </c>
      <c r="J1428" s="8">
        <v>82.09</v>
      </c>
      <c r="L1428" s="8">
        <v>86.11</v>
      </c>
      <c r="N1428" s="8">
        <v>90.23</v>
      </c>
    </row>
    <row r="1429" spans="1:16" x14ac:dyDescent="0.35">
      <c r="A1429" s="7">
        <v>44893</v>
      </c>
      <c r="H1429" s="8">
        <v>77.78</v>
      </c>
      <c r="I1429" s="8">
        <v>78.599999999999994</v>
      </c>
      <c r="J1429" s="8">
        <v>80.930000000000007</v>
      </c>
      <c r="L1429" s="8">
        <v>84.62</v>
      </c>
      <c r="N1429" s="8">
        <v>90.23</v>
      </c>
    </row>
    <row r="1430" spans="1:16" x14ac:dyDescent="0.35">
      <c r="A1430" s="7">
        <v>44894</v>
      </c>
      <c r="H1430" s="8">
        <v>79.97</v>
      </c>
      <c r="I1430" s="8">
        <v>80.760000000000005</v>
      </c>
      <c r="J1430" s="8">
        <v>83.23</v>
      </c>
      <c r="L1430" s="8">
        <v>87.29</v>
      </c>
      <c r="N1430" s="8">
        <v>92.52</v>
      </c>
    </row>
    <row r="1431" spans="1:16" x14ac:dyDescent="0.35">
      <c r="A1431" s="7">
        <v>44895</v>
      </c>
      <c r="H1431" s="8">
        <v>83.51</v>
      </c>
      <c r="I1431" s="8">
        <v>83.66</v>
      </c>
      <c r="J1431" s="8">
        <v>87</v>
      </c>
      <c r="K1431" s="8">
        <v>88.6</v>
      </c>
      <c r="L1431" s="8">
        <v>91.55</v>
      </c>
      <c r="N1431" s="8">
        <v>96.15</v>
      </c>
    </row>
    <row r="1432" spans="1:16" x14ac:dyDescent="0.35">
      <c r="A1432" s="7">
        <v>44896</v>
      </c>
      <c r="H1432" s="8">
        <v>86.21</v>
      </c>
      <c r="I1432" s="8">
        <v>87.89</v>
      </c>
      <c r="J1432" s="8">
        <v>89.64</v>
      </c>
      <c r="K1432" s="8">
        <v>91.91</v>
      </c>
      <c r="L1432" s="8">
        <v>94.12</v>
      </c>
      <c r="N1432" s="11">
        <f>N1431+AVERAGE(L1432-L1431,J1432-J1431,H1432-H1431)</f>
        <v>98.786666666666676</v>
      </c>
    </row>
    <row r="1433" spans="1:16" x14ac:dyDescent="0.35">
      <c r="A1433" s="7">
        <v>44897</v>
      </c>
      <c r="H1433" s="8">
        <v>86.48</v>
      </c>
      <c r="I1433" s="8">
        <v>86.82</v>
      </c>
      <c r="J1433" s="8">
        <v>89.95</v>
      </c>
      <c r="K1433" s="8">
        <v>91.97</v>
      </c>
      <c r="L1433" s="8">
        <v>94.4</v>
      </c>
      <c r="N1433" s="8">
        <v>98.35</v>
      </c>
      <c r="P1433" s="8">
        <v>103.69</v>
      </c>
    </row>
    <row r="1434" spans="1:16" x14ac:dyDescent="0.35">
      <c r="A1434" s="7">
        <v>44898</v>
      </c>
      <c r="H1434" s="8">
        <v>86.48</v>
      </c>
      <c r="I1434" s="8">
        <v>86.82</v>
      </c>
      <c r="J1434" s="8">
        <v>89.95</v>
      </c>
      <c r="K1434" s="8">
        <v>91.97</v>
      </c>
      <c r="L1434" s="8">
        <v>94.4</v>
      </c>
      <c r="N1434" s="8">
        <v>98.35</v>
      </c>
    </row>
    <row r="1435" spans="1:16" x14ac:dyDescent="0.35">
      <c r="A1435" s="7">
        <v>44899</v>
      </c>
      <c r="H1435" s="8">
        <v>86.48</v>
      </c>
      <c r="I1435" s="8">
        <v>86.82</v>
      </c>
      <c r="J1435" s="8">
        <v>89.95</v>
      </c>
      <c r="K1435" s="8">
        <v>91.97</v>
      </c>
      <c r="L1435" s="8">
        <v>94.4</v>
      </c>
      <c r="N1435" s="8">
        <v>98.35</v>
      </c>
    </row>
    <row r="1436" spans="1:16" x14ac:dyDescent="0.35">
      <c r="A1436" s="7">
        <v>44900</v>
      </c>
      <c r="H1436" s="8">
        <v>86.88</v>
      </c>
      <c r="I1436" s="8">
        <v>87.26</v>
      </c>
      <c r="J1436" s="8">
        <v>90.48</v>
      </c>
      <c r="K1436" s="8">
        <v>92.33</v>
      </c>
      <c r="L1436" s="8">
        <v>95.09</v>
      </c>
      <c r="N1436" s="8">
        <v>99.62</v>
      </c>
    </row>
    <row r="1437" spans="1:16" x14ac:dyDescent="0.35">
      <c r="A1437" s="7">
        <v>44901</v>
      </c>
      <c r="H1437" s="8">
        <v>87.96</v>
      </c>
      <c r="I1437" s="8">
        <v>89.06</v>
      </c>
      <c r="J1437" s="8">
        <v>91.53</v>
      </c>
      <c r="K1437" s="8">
        <v>92.28</v>
      </c>
      <c r="L1437" s="8">
        <v>96.08</v>
      </c>
      <c r="N1437" s="8">
        <v>101.25</v>
      </c>
    </row>
    <row r="1438" spans="1:16" x14ac:dyDescent="0.35">
      <c r="A1438" s="7">
        <v>44902</v>
      </c>
      <c r="H1438" s="8">
        <v>87.51</v>
      </c>
      <c r="I1438" s="8">
        <v>88.3</v>
      </c>
      <c r="J1438" s="8">
        <v>91.15</v>
      </c>
      <c r="K1438" s="11">
        <f>K1437+AVERAGE(J1438-J1437,I1438-I1437,H1438-H1437)</f>
        <v>91.75</v>
      </c>
      <c r="L1438" s="8">
        <v>95.34</v>
      </c>
      <c r="N1438" s="8">
        <v>100.38</v>
      </c>
    </row>
    <row r="1439" spans="1:16" x14ac:dyDescent="0.35">
      <c r="A1439" s="7">
        <v>44903</v>
      </c>
      <c r="H1439" s="8">
        <v>88.76</v>
      </c>
      <c r="I1439" s="8">
        <v>89.69</v>
      </c>
      <c r="J1439" s="8">
        <v>92.37</v>
      </c>
      <c r="K1439" s="11">
        <f>K1438+AVERAGE(J1439-J1438,I1439-I1438,H1439-H1438)</f>
        <v>93.036666666666662</v>
      </c>
      <c r="L1439" s="8">
        <v>96.84</v>
      </c>
      <c r="N1439" s="8">
        <v>101.8</v>
      </c>
    </row>
    <row r="1440" spans="1:16" x14ac:dyDescent="0.35">
      <c r="A1440" s="7">
        <v>44904</v>
      </c>
      <c r="H1440" s="8">
        <v>87.99</v>
      </c>
      <c r="I1440" s="8">
        <v>88.64</v>
      </c>
      <c r="J1440" s="8">
        <v>91.62</v>
      </c>
      <c r="K1440" s="8">
        <v>94.23</v>
      </c>
      <c r="L1440" s="8">
        <v>95.91</v>
      </c>
      <c r="N1440" s="8">
        <v>100.2</v>
      </c>
    </row>
    <row r="1441" spans="1:14" x14ac:dyDescent="0.35">
      <c r="A1441" s="7">
        <v>44905</v>
      </c>
      <c r="H1441" s="8">
        <v>87.99</v>
      </c>
      <c r="I1441" s="8">
        <v>88.64</v>
      </c>
      <c r="J1441" s="8">
        <v>91.62</v>
      </c>
      <c r="K1441" s="8">
        <v>94.23</v>
      </c>
      <c r="L1441" s="8">
        <v>95.91</v>
      </c>
      <c r="N1441" s="8">
        <v>100.2</v>
      </c>
    </row>
    <row r="1442" spans="1:14" x14ac:dyDescent="0.35">
      <c r="A1442" s="7">
        <v>44906</v>
      </c>
      <c r="H1442" s="8">
        <v>87.99</v>
      </c>
      <c r="I1442" s="8">
        <v>88.64</v>
      </c>
      <c r="J1442" s="8">
        <v>91.62</v>
      </c>
      <c r="K1442" s="8">
        <v>94.23</v>
      </c>
      <c r="L1442" s="8">
        <v>95.91</v>
      </c>
      <c r="N1442" s="8">
        <v>100.2</v>
      </c>
    </row>
    <row r="1443" spans="1:14" x14ac:dyDescent="0.35">
      <c r="A1443" s="7">
        <v>44907</v>
      </c>
      <c r="H1443" s="8">
        <v>89.2</v>
      </c>
      <c r="I1443" s="8">
        <v>90.4</v>
      </c>
      <c r="J1443" s="8">
        <v>92.85</v>
      </c>
      <c r="K1443" s="8">
        <v>94.32</v>
      </c>
      <c r="L1443" s="8">
        <v>97.27</v>
      </c>
      <c r="N1443" s="8">
        <v>101.9</v>
      </c>
    </row>
    <row r="1444" spans="1:14" x14ac:dyDescent="0.35">
      <c r="A1444" s="7">
        <v>44908</v>
      </c>
      <c r="H1444" s="8">
        <v>88.57</v>
      </c>
      <c r="I1444" s="8">
        <v>89.11</v>
      </c>
      <c r="J1444" s="8">
        <v>92.1</v>
      </c>
      <c r="K1444" s="8">
        <v>93.29</v>
      </c>
      <c r="L1444" s="8">
        <v>96.35</v>
      </c>
      <c r="N1444" s="8">
        <v>100.88</v>
      </c>
    </row>
    <row r="1445" spans="1:14" x14ac:dyDescent="0.35">
      <c r="A1445" s="7">
        <v>44909</v>
      </c>
      <c r="H1445" s="8">
        <v>86.28</v>
      </c>
      <c r="I1445" s="8">
        <v>87.29</v>
      </c>
      <c r="J1445" s="8">
        <v>90.28</v>
      </c>
      <c r="K1445" s="8">
        <v>91.57</v>
      </c>
      <c r="L1445" s="8">
        <v>94.17</v>
      </c>
      <c r="N1445" s="8">
        <v>97.67</v>
      </c>
    </row>
    <row r="1446" spans="1:14" x14ac:dyDescent="0.35">
      <c r="A1446" s="7">
        <v>44910</v>
      </c>
      <c r="H1446" s="8">
        <v>86.4</v>
      </c>
      <c r="I1446" s="8">
        <v>87.16</v>
      </c>
      <c r="J1446" s="8">
        <v>90.04</v>
      </c>
      <c r="K1446" s="8">
        <v>90.76</v>
      </c>
      <c r="L1446" s="8">
        <v>94.2</v>
      </c>
      <c r="N1446" s="8">
        <v>99.55</v>
      </c>
    </row>
    <row r="1447" spans="1:14" x14ac:dyDescent="0.35">
      <c r="A1447" s="7">
        <v>44911</v>
      </c>
      <c r="H1447" s="8">
        <v>84.55</v>
      </c>
      <c r="I1447" s="8">
        <v>85.59</v>
      </c>
      <c r="J1447" s="8">
        <v>88.35</v>
      </c>
      <c r="K1447" s="8">
        <v>90.54</v>
      </c>
      <c r="L1447" s="8">
        <v>92.39</v>
      </c>
      <c r="N1447" s="8">
        <v>98.1</v>
      </c>
    </row>
    <row r="1448" spans="1:14" x14ac:dyDescent="0.35">
      <c r="A1448" s="7">
        <v>44912</v>
      </c>
      <c r="H1448" s="8">
        <v>84.55</v>
      </c>
      <c r="I1448" s="8">
        <v>85.59</v>
      </c>
      <c r="J1448" s="8">
        <v>88.35</v>
      </c>
      <c r="K1448" s="8">
        <v>90.54</v>
      </c>
      <c r="L1448" s="8">
        <v>92.39</v>
      </c>
      <c r="N1448" s="8">
        <v>98.1</v>
      </c>
    </row>
    <row r="1449" spans="1:14" x14ac:dyDescent="0.35">
      <c r="A1449" s="7">
        <v>44913</v>
      </c>
      <c r="H1449" s="8">
        <v>84.55</v>
      </c>
      <c r="I1449" s="8">
        <v>85.59</v>
      </c>
      <c r="J1449" s="8">
        <v>88.35</v>
      </c>
      <c r="K1449" s="8">
        <v>90.54</v>
      </c>
      <c r="L1449" s="8">
        <v>92.39</v>
      </c>
      <c r="N1449" s="8">
        <v>98.1</v>
      </c>
    </row>
    <row r="1450" spans="1:14" x14ac:dyDescent="0.35">
      <c r="A1450" s="7">
        <v>44914</v>
      </c>
      <c r="H1450" s="8">
        <v>84.75</v>
      </c>
      <c r="I1450" s="8">
        <v>85.76</v>
      </c>
      <c r="J1450" s="8">
        <v>88.09</v>
      </c>
      <c r="K1450" s="8">
        <v>88.12</v>
      </c>
      <c r="L1450" s="8">
        <v>92.09</v>
      </c>
      <c r="N1450" s="8">
        <v>97.1</v>
      </c>
    </row>
    <row r="1451" spans="1:14" x14ac:dyDescent="0.35">
      <c r="A1451" s="7">
        <v>44915</v>
      </c>
      <c r="I1451" s="8">
        <v>85.94</v>
      </c>
      <c r="J1451" s="8">
        <v>89.1</v>
      </c>
      <c r="K1451" s="8">
        <v>90.68</v>
      </c>
      <c r="L1451" s="8">
        <v>93.51</v>
      </c>
      <c r="N1451" s="8">
        <v>98.2</v>
      </c>
    </row>
    <row r="1452" spans="1:14" x14ac:dyDescent="0.35">
      <c r="A1452" s="7">
        <v>44916</v>
      </c>
      <c r="I1452" s="8">
        <v>85.29</v>
      </c>
      <c r="J1452" s="8">
        <v>87.9</v>
      </c>
      <c r="K1452" s="8">
        <v>90.14</v>
      </c>
      <c r="L1452" s="8">
        <v>91.91</v>
      </c>
      <c r="N1452" s="8">
        <v>96.79</v>
      </c>
    </row>
    <row r="1453" spans="1:14" x14ac:dyDescent="0.35">
      <c r="A1453" s="7">
        <v>44917</v>
      </c>
      <c r="I1453" s="8">
        <v>86.79</v>
      </c>
      <c r="J1453" s="8">
        <v>89.19</v>
      </c>
      <c r="K1453" s="8">
        <v>91.14</v>
      </c>
      <c r="L1453" s="8">
        <v>93.46</v>
      </c>
      <c r="N1453" s="11">
        <f t="shared" ref="N1453:N1460" si="2">N1452+AVERAGE(L1453-L1452,J1453-J1452,H1453-H1452)</f>
        <v>97.736666666666665</v>
      </c>
    </row>
    <row r="1454" spans="1:14" x14ac:dyDescent="0.35">
      <c r="A1454" s="7">
        <v>44918</v>
      </c>
      <c r="I1454" s="8">
        <v>86.93</v>
      </c>
      <c r="J1454" s="8">
        <v>89.51</v>
      </c>
      <c r="K1454" s="11">
        <f>K1453+AVERAGE(J1454-J1453,I1454-I1453,H1454-H1453)</f>
        <v>91.293333333333337</v>
      </c>
      <c r="L1454" s="8">
        <v>93.84</v>
      </c>
      <c r="N1454" s="11">
        <f t="shared" si="2"/>
        <v>97.97</v>
      </c>
    </row>
    <row r="1455" spans="1:14" x14ac:dyDescent="0.35">
      <c r="A1455" s="7">
        <v>44919</v>
      </c>
      <c r="I1455" s="8">
        <v>86.93</v>
      </c>
      <c r="J1455" s="8">
        <v>89.51</v>
      </c>
      <c r="K1455" s="11">
        <f>K1454+AVERAGE(J1455-J1454,I1455-I1454,H1455-H1454)</f>
        <v>91.293333333333337</v>
      </c>
      <c r="L1455" s="8">
        <v>93.84</v>
      </c>
      <c r="N1455" s="11">
        <f t="shared" si="2"/>
        <v>97.97</v>
      </c>
    </row>
    <row r="1456" spans="1:14" x14ac:dyDescent="0.35">
      <c r="A1456" s="7">
        <v>44920</v>
      </c>
      <c r="I1456" s="8">
        <v>86.93</v>
      </c>
      <c r="J1456" s="8">
        <v>89.51</v>
      </c>
      <c r="K1456" s="11">
        <f>K1455+AVERAGE(J1456-J1455,I1456-I1455,H1456-H1455)</f>
        <v>91.293333333333337</v>
      </c>
      <c r="L1456" s="8">
        <v>93.84</v>
      </c>
      <c r="N1456" s="11">
        <f t="shared" si="2"/>
        <v>97.97</v>
      </c>
    </row>
    <row r="1457" spans="1:16" x14ac:dyDescent="0.35">
      <c r="A1457" s="7">
        <v>44921</v>
      </c>
      <c r="I1457" s="8">
        <v>86.93</v>
      </c>
      <c r="J1457" s="8">
        <v>89.51</v>
      </c>
      <c r="K1457" s="11">
        <f>K1456+AVERAGE(J1457-J1456,I1457-I1456,H1457-H1456)</f>
        <v>91.293333333333337</v>
      </c>
      <c r="L1457" s="8">
        <v>93.84</v>
      </c>
      <c r="N1457" s="11">
        <f t="shared" si="2"/>
        <v>97.97</v>
      </c>
    </row>
    <row r="1458" spans="1:16" x14ac:dyDescent="0.35">
      <c r="A1458" s="7">
        <v>44922</v>
      </c>
      <c r="I1458" s="8">
        <v>87.26</v>
      </c>
      <c r="J1458" s="8">
        <v>89.51</v>
      </c>
      <c r="K1458" s="8">
        <v>91.17</v>
      </c>
      <c r="L1458" s="8">
        <v>93.58</v>
      </c>
      <c r="N1458" s="11">
        <f t="shared" si="2"/>
        <v>97.883333333333326</v>
      </c>
    </row>
    <row r="1459" spans="1:16" x14ac:dyDescent="0.35">
      <c r="A1459" s="7">
        <v>44923</v>
      </c>
      <c r="I1459" s="8">
        <v>84.06</v>
      </c>
      <c r="J1459" s="8">
        <v>86.87</v>
      </c>
      <c r="K1459" s="8">
        <v>88.42</v>
      </c>
      <c r="L1459" s="8">
        <v>91.39</v>
      </c>
      <c r="N1459" s="11">
        <f t="shared" si="2"/>
        <v>96.273333333333326</v>
      </c>
    </row>
    <row r="1460" spans="1:16" x14ac:dyDescent="0.35">
      <c r="A1460" s="7">
        <v>44924</v>
      </c>
      <c r="I1460" s="8">
        <v>83.02</v>
      </c>
      <c r="J1460" s="8">
        <v>85.3</v>
      </c>
      <c r="K1460" s="11">
        <f>K1459+AVERAGE(J1460-J1459,I1460-I1459,H1460-H1459)</f>
        <v>87.55</v>
      </c>
      <c r="L1460" s="8">
        <v>89.66</v>
      </c>
      <c r="N1460" s="11">
        <f t="shared" si="2"/>
        <v>95.173333333333318</v>
      </c>
    </row>
    <row r="1461" spans="1:16" x14ac:dyDescent="0.35">
      <c r="A1461" s="7">
        <v>44925</v>
      </c>
      <c r="I1461" s="8">
        <v>80.7</v>
      </c>
      <c r="J1461" s="8">
        <v>83.29</v>
      </c>
      <c r="K1461" s="8">
        <v>86.14</v>
      </c>
      <c r="L1461" s="8">
        <v>88.19</v>
      </c>
      <c r="N1461" s="8">
        <v>93.01</v>
      </c>
      <c r="P1461" s="8">
        <v>98.51</v>
      </c>
    </row>
    <row r="1462" spans="1:16" x14ac:dyDescent="0.35">
      <c r="A1462" s="7">
        <v>44926</v>
      </c>
      <c r="I1462" s="8">
        <v>80.7</v>
      </c>
      <c r="J1462" s="8">
        <v>83.29</v>
      </c>
      <c r="K1462" s="8">
        <v>86.14</v>
      </c>
      <c r="L1462" s="8">
        <v>88.19</v>
      </c>
      <c r="N1462" s="8">
        <v>93.01</v>
      </c>
      <c r="P1462" s="8">
        <v>98.51</v>
      </c>
    </row>
    <row r="1463" spans="1:16" x14ac:dyDescent="0.35">
      <c r="A1463" s="7">
        <v>44927</v>
      </c>
      <c r="I1463" s="8">
        <v>80.7</v>
      </c>
      <c r="J1463" s="8">
        <v>83.29</v>
      </c>
      <c r="K1463" s="8">
        <v>86.14</v>
      </c>
      <c r="L1463" s="8">
        <v>88.19</v>
      </c>
      <c r="N1463" s="8">
        <v>93.01</v>
      </c>
      <c r="P1463" s="8">
        <v>98.51</v>
      </c>
    </row>
    <row r="1464" spans="1:16" x14ac:dyDescent="0.35">
      <c r="A1464" s="7">
        <v>44928</v>
      </c>
      <c r="I1464" s="8">
        <v>82.05</v>
      </c>
      <c r="J1464" s="8">
        <v>84.97</v>
      </c>
      <c r="K1464" s="8">
        <v>84.96</v>
      </c>
      <c r="L1464" s="8">
        <v>88.08</v>
      </c>
      <c r="N1464" s="11">
        <f>N1463+AVERAGE(L1464-L1463,J1464-J1463,H1464-H1463)</f>
        <v>93.533333333333331</v>
      </c>
      <c r="P1464" s="11">
        <f>P1463+AVERAGE(N1464-N1463,L1464-L1463,J1464-J1463)</f>
        <v>99.207777777777778</v>
      </c>
    </row>
    <row r="1465" spans="1:16" x14ac:dyDescent="0.35">
      <c r="A1465" s="7">
        <v>44929</v>
      </c>
      <c r="I1465" s="8">
        <v>80.55</v>
      </c>
      <c r="J1465" s="8">
        <v>83.25</v>
      </c>
      <c r="K1465" s="8">
        <v>84.47</v>
      </c>
      <c r="L1465" s="8">
        <v>87.3</v>
      </c>
      <c r="N1465" s="11">
        <f>N1464+AVERAGE(L1465-L1464,J1465-J1464,H1465-H1464)</f>
        <v>92.7</v>
      </c>
      <c r="P1465" s="11">
        <f>P1464+AVERAGE(N1465-N1464,L1465-L1464,J1465-J1464)</f>
        <v>98.096666666666664</v>
      </c>
    </row>
    <row r="1466" spans="1:16" x14ac:dyDescent="0.35">
      <c r="A1466" s="7">
        <v>44930</v>
      </c>
      <c r="I1466" s="8">
        <v>77.599999999999994</v>
      </c>
      <c r="J1466" s="8">
        <v>79.89</v>
      </c>
      <c r="K1466" s="8">
        <v>80.5</v>
      </c>
      <c r="L1466" s="8">
        <v>83.88</v>
      </c>
      <c r="N1466" s="8">
        <v>89.35</v>
      </c>
      <c r="P1466" s="8">
        <v>94.22</v>
      </c>
    </row>
    <row r="1467" spans="1:16" x14ac:dyDescent="0.35">
      <c r="A1467" s="7">
        <v>44931</v>
      </c>
      <c r="I1467" s="8">
        <v>76.58</v>
      </c>
      <c r="J1467" s="8">
        <v>78.58</v>
      </c>
      <c r="K1467" s="8">
        <v>79.89</v>
      </c>
      <c r="L1467" s="8">
        <v>82.16</v>
      </c>
      <c r="N1467" s="8">
        <v>86.63</v>
      </c>
      <c r="P1467" s="11">
        <f>P1466+AVERAGE(N1467-N1466,L1467-L1466,J1467-J1466)</f>
        <v>92.303333333333327</v>
      </c>
    </row>
    <row r="1468" spans="1:16" x14ac:dyDescent="0.35">
      <c r="A1468" s="7">
        <v>44932</v>
      </c>
      <c r="I1468" s="8">
        <v>76.010000000000005</v>
      </c>
      <c r="J1468" s="8">
        <v>78.2</v>
      </c>
      <c r="K1468" s="11">
        <f>K1467+AVERAGE(J1468-J1467,I1468-I1467,H1468-H1467)</f>
        <v>79.573333333333338</v>
      </c>
      <c r="L1468" s="8">
        <v>81.97</v>
      </c>
      <c r="N1468" s="8">
        <v>86.67</v>
      </c>
      <c r="P1468" s="11">
        <f>P1467+AVERAGE(N1468-N1467,L1468-L1467,J1468-J1467)</f>
        <v>92.126666666666665</v>
      </c>
    </row>
    <row r="1469" spans="1:16" x14ac:dyDescent="0.35">
      <c r="A1469" s="7">
        <v>44933</v>
      </c>
      <c r="I1469" s="8">
        <v>76.010000000000005</v>
      </c>
      <c r="J1469" s="8">
        <v>78.2</v>
      </c>
      <c r="K1469" s="11">
        <f>K1468+AVERAGE(J1469-J1468,I1469-I1468,H1469-H1468)</f>
        <v>79.573333333333338</v>
      </c>
      <c r="L1469" s="8">
        <v>81.97</v>
      </c>
      <c r="N1469" s="8">
        <v>86.67</v>
      </c>
      <c r="P1469" s="11">
        <f>P1468+AVERAGE(N1469-N1468,L1469-L1468,J1469-J1468)</f>
        <v>92.126666666666665</v>
      </c>
    </row>
    <row r="1470" spans="1:16" x14ac:dyDescent="0.35">
      <c r="A1470" s="7">
        <v>44934</v>
      </c>
      <c r="I1470" s="8">
        <v>76.010000000000005</v>
      </c>
      <c r="J1470" s="8">
        <v>78.2</v>
      </c>
      <c r="K1470" s="11">
        <f>K1469+AVERAGE(J1470-J1469,I1470-I1469,H1470-H1469)</f>
        <v>79.573333333333338</v>
      </c>
      <c r="L1470" s="8">
        <v>81.97</v>
      </c>
      <c r="N1470" s="8">
        <v>86.67</v>
      </c>
      <c r="P1470" s="11">
        <f>P1469+AVERAGE(N1470-N1469,L1470-L1469,J1470-J1469)</f>
        <v>92.126666666666665</v>
      </c>
    </row>
    <row r="1471" spans="1:16" x14ac:dyDescent="0.35">
      <c r="A1471" s="7">
        <v>44935</v>
      </c>
      <c r="I1471" s="8">
        <v>76.959999999999994</v>
      </c>
      <c r="J1471" s="8">
        <v>79.58</v>
      </c>
      <c r="K1471" s="8">
        <v>79.91</v>
      </c>
      <c r="L1471" s="8">
        <v>83.22</v>
      </c>
      <c r="N1471" s="8">
        <v>86.51</v>
      </c>
      <c r="P1471" s="11">
        <f>P1470+AVERAGE(N1471-N1470,L1471-L1470,J1471-J1470)</f>
        <v>92.95</v>
      </c>
    </row>
    <row r="1472" spans="1:16" x14ac:dyDescent="0.35">
      <c r="A1472" s="7">
        <v>44936</v>
      </c>
      <c r="I1472" s="8">
        <v>79.040000000000006</v>
      </c>
      <c r="J1472" s="8">
        <v>81.12</v>
      </c>
      <c r="K1472" s="8">
        <v>81.900000000000006</v>
      </c>
      <c r="L1472" s="8">
        <v>84.81</v>
      </c>
      <c r="N1472" s="8">
        <v>89.17</v>
      </c>
      <c r="P1472" s="8">
        <v>94.15</v>
      </c>
    </row>
    <row r="1473" spans="1:16" x14ac:dyDescent="0.35">
      <c r="A1473" s="7">
        <v>44937</v>
      </c>
      <c r="I1473" s="8">
        <v>77.239999999999995</v>
      </c>
      <c r="J1473" s="8">
        <v>79.81</v>
      </c>
      <c r="K1473" s="8">
        <v>81.22</v>
      </c>
      <c r="L1473" s="8">
        <v>83.79</v>
      </c>
      <c r="N1473" s="8">
        <v>89.05</v>
      </c>
      <c r="P1473" s="8">
        <v>93.24</v>
      </c>
    </row>
    <row r="1474" spans="1:16" x14ac:dyDescent="0.35">
      <c r="A1474" s="7">
        <v>44938</v>
      </c>
      <c r="I1474" s="8">
        <v>77.16</v>
      </c>
      <c r="J1474" s="8">
        <v>79.84</v>
      </c>
      <c r="K1474" s="8">
        <v>80.739999999999995</v>
      </c>
      <c r="L1474" s="8">
        <v>83.91</v>
      </c>
      <c r="N1474" s="8">
        <v>88.43</v>
      </c>
      <c r="P1474" s="8">
        <v>93.06</v>
      </c>
    </row>
    <row r="1475" spans="1:16" x14ac:dyDescent="0.35">
      <c r="A1475" s="7">
        <v>44939</v>
      </c>
      <c r="I1475" s="8">
        <v>76.819999999999993</v>
      </c>
      <c r="J1475" s="8">
        <v>79.180000000000007</v>
      </c>
      <c r="K1475" s="8">
        <v>79.989999999999995</v>
      </c>
      <c r="L1475" s="8">
        <v>83.21</v>
      </c>
      <c r="N1475" s="8">
        <v>87.05</v>
      </c>
      <c r="P1475" s="8">
        <v>93.32</v>
      </c>
    </row>
    <row r="1476" spans="1:16" x14ac:dyDescent="0.35">
      <c r="A1476" s="7">
        <v>44940</v>
      </c>
      <c r="I1476" s="8">
        <v>76.819999999999993</v>
      </c>
      <c r="J1476" s="8">
        <v>79.180000000000007</v>
      </c>
      <c r="K1476" s="8">
        <v>79.989999999999995</v>
      </c>
      <c r="L1476" s="8">
        <v>83.21</v>
      </c>
      <c r="N1476" s="8">
        <v>87.05</v>
      </c>
      <c r="P1476" s="8">
        <v>93.32</v>
      </c>
    </row>
    <row r="1477" spans="1:16" x14ac:dyDescent="0.35">
      <c r="A1477" s="7">
        <v>44941</v>
      </c>
      <c r="I1477" s="8">
        <v>76.819999999999993</v>
      </c>
      <c r="J1477" s="8">
        <v>79.180000000000007</v>
      </c>
      <c r="K1477" s="8">
        <v>79.989999999999995</v>
      </c>
      <c r="L1477" s="8">
        <v>83.21</v>
      </c>
      <c r="N1477" s="8">
        <v>87.05</v>
      </c>
      <c r="P1477" s="8">
        <v>93.32</v>
      </c>
    </row>
    <row r="1478" spans="1:16" x14ac:dyDescent="0.35">
      <c r="A1478" s="7">
        <v>44942</v>
      </c>
      <c r="I1478" s="8">
        <v>75.819999999999993</v>
      </c>
      <c r="J1478" s="8">
        <v>78.239999999999995</v>
      </c>
      <c r="K1478" s="8">
        <v>79.06</v>
      </c>
      <c r="L1478" s="8">
        <v>81.86</v>
      </c>
      <c r="N1478" s="8">
        <v>86.24</v>
      </c>
      <c r="P1478" s="8">
        <v>91.8</v>
      </c>
    </row>
    <row r="1479" spans="1:16" x14ac:dyDescent="0.35">
      <c r="A1479" s="7">
        <v>44943</v>
      </c>
      <c r="I1479" s="8">
        <v>76.41</v>
      </c>
      <c r="J1479" s="8">
        <v>78.790000000000006</v>
      </c>
      <c r="K1479" s="8">
        <v>79.52</v>
      </c>
      <c r="L1479" s="8">
        <v>82.65</v>
      </c>
      <c r="N1479" s="8">
        <v>86.61</v>
      </c>
      <c r="P1479" s="8">
        <v>92.7</v>
      </c>
    </row>
    <row r="1480" spans="1:16" x14ac:dyDescent="0.35">
      <c r="A1480" s="7">
        <v>44944</v>
      </c>
      <c r="I1480" s="8">
        <v>79.86</v>
      </c>
      <c r="J1480" s="8">
        <v>81.290000000000006</v>
      </c>
      <c r="K1480" s="8">
        <v>80.290000000000006</v>
      </c>
      <c r="L1480" s="8">
        <v>84.52</v>
      </c>
      <c r="N1480" s="8">
        <v>89.86</v>
      </c>
      <c r="P1480" s="8">
        <v>93.98</v>
      </c>
    </row>
    <row r="1481" spans="1:16" x14ac:dyDescent="0.35">
      <c r="A1481" s="7">
        <v>44945</v>
      </c>
      <c r="I1481" s="8">
        <v>81.81</v>
      </c>
      <c r="J1481" s="8">
        <v>84.36</v>
      </c>
      <c r="K1481" s="8">
        <v>85.63</v>
      </c>
      <c r="L1481" s="8">
        <v>88.12</v>
      </c>
      <c r="N1481" s="8">
        <v>92.35</v>
      </c>
      <c r="P1481" s="8">
        <v>97.27</v>
      </c>
    </row>
    <row r="1482" spans="1:16" x14ac:dyDescent="0.35">
      <c r="A1482" s="7">
        <v>44946</v>
      </c>
      <c r="I1482" s="8">
        <v>82.12</v>
      </c>
      <c r="J1482" s="8">
        <v>84.61</v>
      </c>
      <c r="K1482" s="8">
        <v>85.59</v>
      </c>
      <c r="L1482" s="8">
        <v>88.42</v>
      </c>
      <c r="N1482" s="8">
        <v>93.19</v>
      </c>
      <c r="P1482" s="8">
        <v>98.51</v>
      </c>
    </row>
    <row r="1483" spans="1:16" x14ac:dyDescent="0.35">
      <c r="A1483" s="7">
        <v>44947</v>
      </c>
      <c r="I1483" s="8">
        <v>82.12</v>
      </c>
      <c r="J1483" s="8">
        <v>84.61</v>
      </c>
      <c r="K1483" s="8">
        <v>85.59</v>
      </c>
      <c r="L1483" s="8">
        <v>88.42</v>
      </c>
      <c r="N1483" s="8">
        <v>93.19</v>
      </c>
      <c r="P1483" s="8">
        <v>98.51</v>
      </c>
    </row>
    <row r="1484" spans="1:16" x14ac:dyDescent="0.35">
      <c r="A1484" s="7">
        <v>44948</v>
      </c>
      <c r="I1484" s="8">
        <v>82.12</v>
      </c>
      <c r="J1484" s="8">
        <v>84.61</v>
      </c>
      <c r="K1484" s="8">
        <v>85.59</v>
      </c>
      <c r="L1484" s="8">
        <v>88.42</v>
      </c>
      <c r="N1484" s="8">
        <v>93.19</v>
      </c>
      <c r="P1484" s="8">
        <v>98.51</v>
      </c>
    </row>
    <row r="1485" spans="1:16" x14ac:dyDescent="0.35">
      <c r="A1485" s="7">
        <v>44949</v>
      </c>
      <c r="I1485" s="8">
        <v>82.86</v>
      </c>
      <c r="J1485" s="8">
        <v>84.77</v>
      </c>
      <c r="K1485" s="8">
        <v>85.8</v>
      </c>
      <c r="L1485" s="8">
        <v>88.43</v>
      </c>
      <c r="N1485" s="8">
        <v>92.98</v>
      </c>
      <c r="P1485" s="11">
        <f>P1484+AVERAGE(N1485-N1484,L1485-L1484,J1485-J1484)</f>
        <v>98.49666666666667</v>
      </c>
    </row>
    <row r="1486" spans="1:16" x14ac:dyDescent="0.35">
      <c r="A1486" s="7">
        <v>44950</v>
      </c>
      <c r="I1486" s="8">
        <v>80.56</v>
      </c>
      <c r="J1486" s="8">
        <v>82.93</v>
      </c>
      <c r="K1486" s="8">
        <v>83.99</v>
      </c>
      <c r="L1486" s="8">
        <v>86.41</v>
      </c>
      <c r="N1486" s="8">
        <v>91.33</v>
      </c>
      <c r="P1486" s="11">
        <f>P1485+AVERAGE(N1486-N1485,L1486-L1485,J1486-J1485)</f>
        <v>96.66</v>
      </c>
    </row>
    <row r="1487" spans="1:16" x14ac:dyDescent="0.35">
      <c r="A1487" s="7">
        <v>44951</v>
      </c>
      <c r="I1487" s="8">
        <v>80.040000000000006</v>
      </c>
      <c r="J1487" s="8">
        <v>82.67</v>
      </c>
      <c r="K1487" s="8">
        <v>83.14</v>
      </c>
      <c r="L1487" s="8">
        <v>86.8</v>
      </c>
      <c r="N1487" s="8">
        <v>90.34</v>
      </c>
      <c r="P1487" s="8">
        <v>95.04</v>
      </c>
    </row>
    <row r="1488" spans="1:16" x14ac:dyDescent="0.35">
      <c r="A1488" s="7">
        <v>44952</v>
      </c>
      <c r="I1488" s="8">
        <v>84.36</v>
      </c>
      <c r="J1488" s="8">
        <v>87.59</v>
      </c>
      <c r="K1488" s="8">
        <v>88.74</v>
      </c>
      <c r="L1488" s="8">
        <v>92.03</v>
      </c>
      <c r="N1488" s="8">
        <v>96.31</v>
      </c>
      <c r="P1488" s="8">
        <v>98.54</v>
      </c>
    </row>
    <row r="1489" spans="1:16" x14ac:dyDescent="0.35">
      <c r="A1489" s="7">
        <v>44953</v>
      </c>
      <c r="I1489" s="8">
        <v>87.34</v>
      </c>
      <c r="J1489" s="8">
        <v>89.72</v>
      </c>
      <c r="K1489" s="8">
        <v>90.79</v>
      </c>
      <c r="L1489" s="8">
        <v>93.58</v>
      </c>
      <c r="N1489" s="8">
        <v>98.28</v>
      </c>
      <c r="P1489" s="8">
        <v>103.07</v>
      </c>
    </row>
    <row r="1490" spans="1:16" x14ac:dyDescent="0.35">
      <c r="A1490" s="7">
        <v>44954</v>
      </c>
      <c r="I1490" s="8">
        <v>87.34</v>
      </c>
      <c r="J1490" s="8">
        <v>89.72</v>
      </c>
      <c r="K1490" s="8">
        <v>90.79</v>
      </c>
      <c r="L1490" s="8">
        <v>93.58</v>
      </c>
      <c r="N1490" s="8">
        <v>98.28</v>
      </c>
      <c r="P1490" s="8">
        <v>103.07</v>
      </c>
    </row>
    <row r="1491" spans="1:16" x14ac:dyDescent="0.35">
      <c r="A1491" s="7">
        <v>44955</v>
      </c>
      <c r="I1491" s="8">
        <v>87.34</v>
      </c>
      <c r="J1491" s="8">
        <v>89.72</v>
      </c>
      <c r="K1491" s="8">
        <v>90.79</v>
      </c>
      <c r="L1491" s="8">
        <v>93.58</v>
      </c>
      <c r="N1491" s="8">
        <v>98.28</v>
      </c>
      <c r="P1491" s="8">
        <v>103.07</v>
      </c>
    </row>
    <row r="1492" spans="1:16" x14ac:dyDescent="0.35">
      <c r="A1492" s="7">
        <v>44956</v>
      </c>
      <c r="I1492" s="8">
        <v>86.95</v>
      </c>
      <c r="J1492" s="8">
        <v>89.3</v>
      </c>
      <c r="K1492" s="8">
        <v>89.98</v>
      </c>
      <c r="L1492" s="8">
        <v>93.41</v>
      </c>
      <c r="N1492" s="8">
        <v>97.19</v>
      </c>
      <c r="P1492" s="11">
        <f>P1491+AVERAGE(N1492-N1491,L1492-L1491,J1492-J1491)</f>
        <v>102.50999999999999</v>
      </c>
    </row>
    <row r="1493" spans="1:16" x14ac:dyDescent="0.35">
      <c r="A1493" s="7">
        <v>44957</v>
      </c>
      <c r="I1493" s="8">
        <v>88.12</v>
      </c>
      <c r="J1493" s="8">
        <v>91.42</v>
      </c>
      <c r="K1493" s="8">
        <v>91.46</v>
      </c>
      <c r="L1493" s="8">
        <v>95.44</v>
      </c>
      <c r="N1493" s="8">
        <v>101.51</v>
      </c>
      <c r="P1493" s="8">
        <v>107.36</v>
      </c>
    </row>
    <row r="1494" spans="1:16" x14ac:dyDescent="0.35">
      <c r="A1494" s="7">
        <v>44958</v>
      </c>
      <c r="I1494" s="8">
        <v>92.09</v>
      </c>
      <c r="J1494" s="8">
        <v>95.03</v>
      </c>
      <c r="K1494" s="8">
        <v>96.22</v>
      </c>
      <c r="L1494" s="8">
        <v>99.24</v>
      </c>
      <c r="N1494" s="8">
        <v>103.6</v>
      </c>
      <c r="P1494" s="8">
        <v>108.85</v>
      </c>
    </row>
    <row r="1495" spans="1:16" x14ac:dyDescent="0.35">
      <c r="A1495" s="7">
        <v>44959</v>
      </c>
      <c r="I1495" s="8">
        <v>91.79</v>
      </c>
      <c r="J1495" s="8">
        <v>94.71</v>
      </c>
      <c r="K1495" s="8">
        <v>96.13</v>
      </c>
      <c r="L1495" s="8">
        <v>99.22</v>
      </c>
      <c r="N1495" s="8">
        <v>103.36</v>
      </c>
      <c r="P1495" s="8">
        <v>109.72</v>
      </c>
    </row>
    <row r="1496" spans="1:16" x14ac:dyDescent="0.35">
      <c r="A1496" s="7">
        <v>44960</v>
      </c>
      <c r="I1496" s="8">
        <v>92.06</v>
      </c>
      <c r="J1496" s="8">
        <v>94.37</v>
      </c>
      <c r="K1496" s="8">
        <v>95.18</v>
      </c>
      <c r="L1496" s="8">
        <v>98.56</v>
      </c>
      <c r="N1496" s="8">
        <v>103.47</v>
      </c>
      <c r="P1496" s="11">
        <f>P1495+AVERAGE(N1496-N1495,L1496-L1495,J1496-J1495)</f>
        <v>109.42333333333333</v>
      </c>
    </row>
    <row r="1497" spans="1:16" x14ac:dyDescent="0.35">
      <c r="A1497" s="7">
        <v>44961</v>
      </c>
      <c r="I1497" s="8">
        <v>92.06</v>
      </c>
      <c r="J1497" s="8">
        <v>94.37</v>
      </c>
      <c r="K1497" s="8">
        <v>95.18</v>
      </c>
      <c r="L1497" s="8">
        <v>98.56</v>
      </c>
      <c r="N1497" s="8">
        <v>103.47</v>
      </c>
      <c r="P1497" s="11">
        <f>P1496+AVERAGE(N1497-N1496,L1497-L1496,J1497-J1496)</f>
        <v>109.42333333333333</v>
      </c>
    </row>
    <row r="1498" spans="1:16" x14ac:dyDescent="0.35">
      <c r="A1498" s="7">
        <v>44962</v>
      </c>
      <c r="I1498" s="8">
        <v>92.06</v>
      </c>
      <c r="J1498" s="8">
        <v>94.37</v>
      </c>
      <c r="K1498" s="8">
        <v>95.18</v>
      </c>
      <c r="L1498" s="8">
        <v>98.56</v>
      </c>
      <c r="N1498" s="8">
        <v>103.47</v>
      </c>
      <c r="P1498" s="11">
        <f>P1497+AVERAGE(N1498-N1497,L1498-L1497,J1498-J1497)</f>
        <v>109.42333333333333</v>
      </c>
    </row>
    <row r="1499" spans="1:16" x14ac:dyDescent="0.35">
      <c r="A1499" s="7">
        <v>44963</v>
      </c>
      <c r="I1499" s="8">
        <v>89.21</v>
      </c>
      <c r="J1499" s="8">
        <v>93.2</v>
      </c>
      <c r="K1499" s="8">
        <v>94.92</v>
      </c>
      <c r="L1499" s="8">
        <v>96.68</v>
      </c>
      <c r="N1499" s="8">
        <v>100.07</v>
      </c>
      <c r="P1499" s="11">
        <f>P1498+AVERAGE(N1499-N1498,L1499-L1498,J1499-J1498)</f>
        <v>107.27333333333333</v>
      </c>
    </row>
    <row r="1500" spans="1:16" x14ac:dyDescent="0.35">
      <c r="A1500" s="7">
        <v>44964</v>
      </c>
      <c r="I1500" s="8">
        <v>87.31</v>
      </c>
      <c r="J1500" s="8">
        <v>90.55</v>
      </c>
      <c r="K1500" s="8">
        <v>91.38</v>
      </c>
      <c r="L1500" s="8">
        <v>94.48</v>
      </c>
      <c r="N1500" s="8">
        <v>99.05</v>
      </c>
      <c r="P1500" s="8">
        <v>104.06</v>
      </c>
    </row>
    <row r="1501" spans="1:16" x14ac:dyDescent="0.35">
      <c r="A1501" s="7">
        <v>44965</v>
      </c>
      <c r="I1501" s="8">
        <v>87.26</v>
      </c>
      <c r="J1501" s="8">
        <v>90.36</v>
      </c>
      <c r="K1501" s="8">
        <v>91.07</v>
      </c>
      <c r="L1501" s="8">
        <v>94.6</v>
      </c>
      <c r="N1501" s="8">
        <v>99.15</v>
      </c>
      <c r="P1501" s="8">
        <v>103.17</v>
      </c>
    </row>
    <row r="1502" spans="1:16" x14ac:dyDescent="0.35">
      <c r="A1502" s="7">
        <v>44966</v>
      </c>
      <c r="I1502" s="8">
        <v>88.49</v>
      </c>
      <c r="J1502" s="8">
        <v>91.38</v>
      </c>
      <c r="K1502" s="8">
        <v>91.63</v>
      </c>
      <c r="L1502" s="8">
        <v>95.48</v>
      </c>
      <c r="N1502" s="8">
        <v>99.96</v>
      </c>
      <c r="P1502" s="8">
        <v>104.46</v>
      </c>
    </row>
    <row r="1503" spans="1:16" x14ac:dyDescent="0.35">
      <c r="A1503" s="7">
        <v>44967</v>
      </c>
      <c r="I1503" s="8">
        <v>89.93</v>
      </c>
      <c r="J1503" s="8">
        <v>92.51</v>
      </c>
      <c r="K1503" s="8">
        <v>93.48</v>
      </c>
      <c r="L1503" s="8">
        <v>96.63</v>
      </c>
      <c r="N1503" s="8">
        <v>101.01</v>
      </c>
      <c r="P1503" s="8">
        <v>105.47</v>
      </c>
    </row>
    <row r="1504" spans="1:16" x14ac:dyDescent="0.35">
      <c r="A1504" s="7">
        <v>44968</v>
      </c>
      <c r="I1504" s="8">
        <v>89.93</v>
      </c>
      <c r="J1504" s="8">
        <v>92.51</v>
      </c>
      <c r="K1504" s="8">
        <v>93.48</v>
      </c>
      <c r="L1504" s="8">
        <v>96.63</v>
      </c>
      <c r="N1504" s="8">
        <v>101.01</v>
      </c>
      <c r="P1504" s="8">
        <v>105.47</v>
      </c>
    </row>
    <row r="1505" spans="1:16" x14ac:dyDescent="0.35">
      <c r="A1505" s="7">
        <v>44969</v>
      </c>
      <c r="I1505" s="8">
        <v>89.93</v>
      </c>
      <c r="J1505" s="8">
        <v>92.51</v>
      </c>
      <c r="K1505" s="8">
        <v>93.48</v>
      </c>
      <c r="L1505" s="8">
        <v>96.63</v>
      </c>
      <c r="N1505" s="8">
        <v>101.01</v>
      </c>
      <c r="P1505" s="8">
        <v>105.47</v>
      </c>
    </row>
    <row r="1506" spans="1:16" x14ac:dyDescent="0.35">
      <c r="A1506" s="7">
        <v>44970</v>
      </c>
      <c r="I1506" s="8">
        <v>89.61</v>
      </c>
      <c r="J1506" s="8">
        <v>92.26</v>
      </c>
      <c r="K1506" s="8">
        <v>93.26</v>
      </c>
      <c r="L1506" s="8">
        <v>96.49</v>
      </c>
      <c r="N1506" s="8">
        <v>100.78</v>
      </c>
      <c r="P1506" s="8">
        <v>105.05</v>
      </c>
    </row>
    <row r="1507" spans="1:16" x14ac:dyDescent="0.35">
      <c r="A1507" s="7">
        <v>44971</v>
      </c>
      <c r="I1507" s="8">
        <v>88.47</v>
      </c>
      <c r="J1507" s="8">
        <v>91.64</v>
      </c>
      <c r="K1507" s="8">
        <v>93.17</v>
      </c>
      <c r="L1507" s="8">
        <v>95.57</v>
      </c>
      <c r="N1507" s="8">
        <v>100.1</v>
      </c>
      <c r="P1507" s="8">
        <v>103.92</v>
      </c>
    </row>
    <row r="1508" spans="1:16" x14ac:dyDescent="0.35">
      <c r="A1508" s="7">
        <v>44972</v>
      </c>
      <c r="I1508" s="8">
        <v>89.38</v>
      </c>
      <c r="J1508" s="8">
        <v>92.69</v>
      </c>
      <c r="K1508" s="8">
        <v>92.37</v>
      </c>
      <c r="L1508" s="8">
        <v>96.28</v>
      </c>
      <c r="N1508" s="8">
        <v>101.17</v>
      </c>
      <c r="P1508" s="8">
        <v>106.8</v>
      </c>
    </row>
    <row r="1509" spans="1:16" x14ac:dyDescent="0.35">
      <c r="A1509" s="7">
        <v>44973</v>
      </c>
      <c r="I1509" s="8">
        <v>94.07</v>
      </c>
      <c r="J1509" s="8">
        <v>96.71</v>
      </c>
      <c r="K1509" s="8">
        <v>98.18</v>
      </c>
      <c r="L1509" s="8">
        <v>101.41</v>
      </c>
      <c r="N1509" s="8">
        <v>106.12</v>
      </c>
      <c r="P1509" s="8">
        <v>110.12</v>
      </c>
    </row>
    <row r="1510" spans="1:16" x14ac:dyDescent="0.35">
      <c r="A1510" s="7">
        <v>44974</v>
      </c>
      <c r="I1510" s="8">
        <v>94.01</v>
      </c>
      <c r="J1510" s="8">
        <v>96.99</v>
      </c>
      <c r="K1510" s="8">
        <v>98.09</v>
      </c>
      <c r="L1510" s="8">
        <v>101.63</v>
      </c>
      <c r="N1510" s="8">
        <v>106.08</v>
      </c>
      <c r="P1510" s="8">
        <v>109.57</v>
      </c>
    </row>
    <row r="1511" spans="1:16" x14ac:dyDescent="0.35">
      <c r="A1511" s="7">
        <v>44975</v>
      </c>
      <c r="I1511" s="8">
        <v>94.01</v>
      </c>
      <c r="J1511" s="8">
        <v>96.99</v>
      </c>
      <c r="K1511" s="8">
        <v>98.09</v>
      </c>
      <c r="L1511" s="8">
        <v>101.63</v>
      </c>
      <c r="N1511" s="8">
        <v>106.08</v>
      </c>
      <c r="P1511" s="8">
        <v>109.57</v>
      </c>
    </row>
    <row r="1512" spans="1:16" x14ac:dyDescent="0.35">
      <c r="A1512" s="7">
        <v>44976</v>
      </c>
      <c r="I1512" s="8">
        <v>94.01</v>
      </c>
      <c r="J1512" s="8">
        <v>96.99</v>
      </c>
      <c r="K1512" s="8">
        <v>98.09</v>
      </c>
      <c r="L1512" s="8">
        <v>101.63</v>
      </c>
      <c r="N1512" s="8">
        <v>106.08</v>
      </c>
      <c r="P1512" s="8">
        <v>109.57</v>
      </c>
    </row>
    <row r="1513" spans="1:16" x14ac:dyDescent="0.35">
      <c r="A1513" s="7">
        <v>44977</v>
      </c>
      <c r="I1513" s="8">
        <v>95.81</v>
      </c>
      <c r="J1513" s="8">
        <v>98.37</v>
      </c>
      <c r="K1513" s="8">
        <v>98.67</v>
      </c>
      <c r="L1513" s="8">
        <v>103.34</v>
      </c>
      <c r="N1513" s="8">
        <v>108.55</v>
      </c>
      <c r="P1513" s="11">
        <f>P1512+AVERAGE(N1513-N1512,L1513-L1512,J1513-J1512)</f>
        <v>111.42333333333333</v>
      </c>
    </row>
    <row r="1514" spans="1:16" x14ac:dyDescent="0.35">
      <c r="A1514" s="7">
        <v>44978</v>
      </c>
      <c r="I1514" s="8">
        <v>96.89</v>
      </c>
      <c r="J1514" s="8">
        <v>99.48</v>
      </c>
      <c r="K1514" s="8">
        <v>99.11</v>
      </c>
      <c r="L1514" s="8">
        <v>104.59</v>
      </c>
      <c r="N1514" s="8">
        <v>109.4</v>
      </c>
      <c r="P1514" s="8">
        <v>113.42</v>
      </c>
    </row>
    <row r="1515" spans="1:16" x14ac:dyDescent="0.35">
      <c r="A1515" s="7">
        <v>44979</v>
      </c>
      <c r="I1515" s="8">
        <v>94.84</v>
      </c>
      <c r="J1515" s="8">
        <v>98.07</v>
      </c>
      <c r="K1515" s="8">
        <v>99.59</v>
      </c>
      <c r="L1515" s="8">
        <v>103.04</v>
      </c>
      <c r="N1515" s="8">
        <v>107.6</v>
      </c>
      <c r="P1515" s="8">
        <v>111.75</v>
      </c>
    </row>
    <row r="1516" spans="1:16" x14ac:dyDescent="0.35">
      <c r="A1516" s="7">
        <v>44980</v>
      </c>
      <c r="I1516" s="8">
        <v>93.85</v>
      </c>
      <c r="J1516" s="8">
        <v>97.08</v>
      </c>
      <c r="K1516" s="8">
        <v>98.11</v>
      </c>
      <c r="L1516" s="8">
        <v>101.98</v>
      </c>
      <c r="N1516" s="8">
        <v>106.76</v>
      </c>
      <c r="P1516" s="8">
        <v>110.96</v>
      </c>
    </row>
    <row r="1517" spans="1:16" x14ac:dyDescent="0.35">
      <c r="A1517" s="7">
        <v>44981</v>
      </c>
      <c r="I1517" s="8">
        <v>95.09</v>
      </c>
      <c r="J1517" s="8">
        <v>98.45</v>
      </c>
      <c r="K1517" s="8">
        <v>99.79</v>
      </c>
      <c r="L1517" s="8">
        <v>103.15</v>
      </c>
      <c r="N1517" s="8">
        <v>108.08</v>
      </c>
      <c r="P1517" s="8">
        <v>111.28</v>
      </c>
    </row>
    <row r="1518" spans="1:16" x14ac:dyDescent="0.35">
      <c r="A1518" s="7">
        <v>44982</v>
      </c>
      <c r="I1518" s="8">
        <v>95.09</v>
      </c>
      <c r="J1518" s="8">
        <v>98.45</v>
      </c>
      <c r="K1518" s="8">
        <v>99.79</v>
      </c>
      <c r="L1518" s="8">
        <v>103.15</v>
      </c>
      <c r="N1518" s="8">
        <v>108.08</v>
      </c>
      <c r="P1518" s="8">
        <v>111.28</v>
      </c>
    </row>
    <row r="1519" spans="1:16" x14ac:dyDescent="0.35">
      <c r="A1519" s="7">
        <v>44983</v>
      </c>
      <c r="I1519" s="8">
        <v>95.09</v>
      </c>
      <c r="J1519" s="8">
        <v>98.45</v>
      </c>
      <c r="K1519" s="8">
        <v>99.79</v>
      </c>
      <c r="L1519" s="8">
        <v>103.15</v>
      </c>
      <c r="N1519" s="8">
        <v>108.08</v>
      </c>
      <c r="P1519" s="8">
        <v>111.28</v>
      </c>
    </row>
    <row r="1520" spans="1:16" x14ac:dyDescent="0.35">
      <c r="A1520" s="7">
        <v>44984</v>
      </c>
      <c r="I1520" s="8">
        <v>96.11</v>
      </c>
      <c r="J1520" s="8">
        <v>99.24</v>
      </c>
      <c r="K1520" s="8">
        <v>100.01</v>
      </c>
      <c r="L1520" s="8">
        <v>104.32</v>
      </c>
      <c r="N1520" s="8">
        <v>109.7</v>
      </c>
      <c r="P1520" s="8">
        <v>114.02</v>
      </c>
    </row>
    <row r="1521" spans="1:16" x14ac:dyDescent="0.35">
      <c r="A1521" s="7">
        <v>44985</v>
      </c>
      <c r="I1521" s="8">
        <v>96.43</v>
      </c>
      <c r="J1521" s="8">
        <v>99.78</v>
      </c>
      <c r="K1521" s="8">
        <v>100.74</v>
      </c>
      <c r="L1521" s="8">
        <v>104.82</v>
      </c>
      <c r="N1521" s="8">
        <v>109.62</v>
      </c>
      <c r="P1521" s="8">
        <v>113.73</v>
      </c>
    </row>
    <row r="1522" spans="1:16" x14ac:dyDescent="0.35">
      <c r="A1522" s="7">
        <v>44986</v>
      </c>
      <c r="I1522" s="8">
        <v>94.86</v>
      </c>
      <c r="J1522" s="8">
        <v>97.9</v>
      </c>
      <c r="K1522" s="8">
        <v>99.48</v>
      </c>
      <c r="L1522" s="8">
        <v>102.84</v>
      </c>
      <c r="N1522" s="8">
        <v>107.56</v>
      </c>
      <c r="P1522" s="11">
        <f>P1521+AVERAGE(N1522-N1521,L1522-L1521,J1522-J1521)</f>
        <v>111.75666666666667</v>
      </c>
    </row>
    <row r="1523" spans="1:16" x14ac:dyDescent="0.35">
      <c r="A1523" s="7">
        <v>44987</v>
      </c>
      <c r="I1523" s="8">
        <v>91.61</v>
      </c>
      <c r="J1523" s="8">
        <v>95.27</v>
      </c>
      <c r="K1523" s="8">
        <v>97.14</v>
      </c>
      <c r="L1523" s="8">
        <v>100.06</v>
      </c>
      <c r="N1523" s="8">
        <v>104.43</v>
      </c>
      <c r="P1523" s="8">
        <v>108.09</v>
      </c>
    </row>
    <row r="1524" spans="1:16" x14ac:dyDescent="0.35">
      <c r="A1524" s="7">
        <v>44988</v>
      </c>
      <c r="I1524" s="8">
        <v>89.39</v>
      </c>
      <c r="J1524" s="8">
        <v>92.57</v>
      </c>
      <c r="K1524" s="8">
        <v>93.96</v>
      </c>
      <c r="L1524" s="8">
        <v>97.48</v>
      </c>
      <c r="N1524" s="8">
        <v>102.42</v>
      </c>
      <c r="P1524" s="8">
        <v>107.18</v>
      </c>
    </row>
    <row r="1525" spans="1:16" x14ac:dyDescent="0.35">
      <c r="A1525" s="7">
        <v>44989</v>
      </c>
      <c r="I1525" s="8">
        <v>89.39</v>
      </c>
      <c r="J1525" s="8">
        <v>92.57</v>
      </c>
      <c r="K1525" s="8">
        <v>93.96</v>
      </c>
      <c r="L1525" s="8">
        <v>97.48</v>
      </c>
      <c r="N1525" s="8">
        <v>102.42</v>
      </c>
      <c r="P1525" s="8">
        <v>107.18</v>
      </c>
    </row>
    <row r="1526" spans="1:16" x14ac:dyDescent="0.35">
      <c r="A1526" s="7">
        <v>44990</v>
      </c>
      <c r="I1526" s="8">
        <v>89.39</v>
      </c>
      <c r="J1526" s="8">
        <v>92.57</v>
      </c>
      <c r="K1526" s="8">
        <v>93.96</v>
      </c>
      <c r="L1526" s="8">
        <v>97.48</v>
      </c>
      <c r="N1526" s="8">
        <v>102.42</v>
      </c>
      <c r="P1526" s="8">
        <v>107.18</v>
      </c>
    </row>
    <row r="1527" spans="1:16" x14ac:dyDescent="0.35">
      <c r="A1527" s="7">
        <v>44991</v>
      </c>
      <c r="I1527" s="8">
        <v>90.09</v>
      </c>
      <c r="J1527" s="8">
        <v>93.21</v>
      </c>
      <c r="K1527" s="8">
        <v>94.29</v>
      </c>
      <c r="L1527" s="8">
        <v>97.96</v>
      </c>
      <c r="N1527" s="8">
        <v>102.91</v>
      </c>
      <c r="P1527" s="8">
        <v>107.2</v>
      </c>
    </row>
    <row r="1528" spans="1:16" x14ac:dyDescent="0.35">
      <c r="A1528" s="7">
        <v>44992</v>
      </c>
      <c r="I1528" s="8">
        <v>92.75</v>
      </c>
      <c r="J1528" s="8">
        <v>95.32</v>
      </c>
      <c r="K1528" s="8">
        <v>96.44</v>
      </c>
      <c r="L1528" s="8">
        <v>100.39</v>
      </c>
      <c r="N1528" s="8">
        <v>105.37</v>
      </c>
      <c r="P1528" s="8">
        <v>109.65</v>
      </c>
    </row>
    <row r="1529" spans="1:16" x14ac:dyDescent="0.35">
      <c r="A1529" s="7">
        <v>44993</v>
      </c>
      <c r="I1529" s="8">
        <v>94.75</v>
      </c>
      <c r="J1529" s="8">
        <v>97.7</v>
      </c>
      <c r="K1529" s="8">
        <v>98.96</v>
      </c>
      <c r="L1529" s="8">
        <v>102.96</v>
      </c>
      <c r="N1529" s="8">
        <v>107.92</v>
      </c>
      <c r="P1529" s="11">
        <f>P1528+AVERAGE(N1529-N1528,L1529-L1528,J1529-J1528)</f>
        <v>112.15</v>
      </c>
    </row>
    <row r="1530" spans="1:16" x14ac:dyDescent="0.35">
      <c r="A1530" s="7">
        <v>44994</v>
      </c>
      <c r="I1530" s="8">
        <v>95.33</v>
      </c>
      <c r="J1530" s="8">
        <v>98.18</v>
      </c>
      <c r="K1530" s="8">
        <v>99.27</v>
      </c>
      <c r="L1530" s="8">
        <v>103.35</v>
      </c>
      <c r="N1530" s="8">
        <v>108.32</v>
      </c>
      <c r="P1530" s="8">
        <v>113.59</v>
      </c>
    </row>
    <row r="1531" spans="1:16" x14ac:dyDescent="0.35">
      <c r="A1531" s="7">
        <v>44995</v>
      </c>
      <c r="I1531" s="8">
        <v>96.44</v>
      </c>
      <c r="J1531" s="8">
        <v>99.16</v>
      </c>
      <c r="K1531" s="8">
        <v>100.1</v>
      </c>
      <c r="L1531" s="8">
        <v>104.29</v>
      </c>
      <c r="N1531" s="8">
        <v>109.34</v>
      </c>
      <c r="P1531" s="8">
        <v>114.19</v>
      </c>
    </row>
    <row r="1532" spans="1:16" x14ac:dyDescent="0.35">
      <c r="A1532" s="7">
        <v>44996</v>
      </c>
      <c r="I1532" s="8">
        <v>96.44</v>
      </c>
      <c r="J1532" s="8">
        <v>99.16</v>
      </c>
      <c r="K1532" s="8">
        <v>100.1</v>
      </c>
      <c r="L1532" s="8">
        <v>104.29</v>
      </c>
      <c r="N1532" s="8">
        <v>109.34</v>
      </c>
      <c r="P1532" s="8">
        <v>114.19</v>
      </c>
    </row>
    <row r="1533" spans="1:16" x14ac:dyDescent="0.35">
      <c r="A1533" s="7">
        <v>44997</v>
      </c>
      <c r="I1533" s="8">
        <v>96.44</v>
      </c>
      <c r="J1533" s="8">
        <v>99.16</v>
      </c>
      <c r="K1533" s="8">
        <v>100.1</v>
      </c>
      <c r="L1533" s="8">
        <v>104.29</v>
      </c>
      <c r="N1533" s="8">
        <v>109.34</v>
      </c>
      <c r="P1533" s="8">
        <v>114.19</v>
      </c>
    </row>
    <row r="1534" spans="1:16" x14ac:dyDescent="0.35">
      <c r="A1534" s="7">
        <v>44998</v>
      </c>
      <c r="I1534" s="8">
        <v>93.81</v>
      </c>
      <c r="J1534" s="8">
        <v>97.28</v>
      </c>
      <c r="K1534" s="8">
        <v>99.37</v>
      </c>
      <c r="L1534" s="8">
        <v>101.97</v>
      </c>
      <c r="N1534" s="8">
        <v>106.63</v>
      </c>
      <c r="P1534" s="8">
        <v>110.92</v>
      </c>
    </row>
    <row r="1535" spans="1:16" x14ac:dyDescent="0.35">
      <c r="A1535" s="7">
        <v>44999</v>
      </c>
      <c r="I1535" s="8">
        <v>90.91</v>
      </c>
      <c r="J1535" s="8">
        <v>94.31</v>
      </c>
      <c r="K1535" s="8">
        <v>96.01</v>
      </c>
      <c r="L1535" s="8">
        <v>99</v>
      </c>
      <c r="N1535" s="8">
        <v>103.23</v>
      </c>
      <c r="P1535" s="11">
        <f>P1534+AVERAGE(N1535-N1534,L1535-L1534,J1535-J1534)</f>
        <v>107.80666666666667</v>
      </c>
    </row>
    <row r="1536" spans="1:16" x14ac:dyDescent="0.35">
      <c r="A1536" s="7">
        <v>45000</v>
      </c>
      <c r="I1536" s="8">
        <v>88.17</v>
      </c>
      <c r="J1536" s="8">
        <v>91.23</v>
      </c>
      <c r="K1536" s="8">
        <v>93.92</v>
      </c>
      <c r="L1536" s="8">
        <v>95.78</v>
      </c>
      <c r="N1536" s="8">
        <v>99.82</v>
      </c>
      <c r="P1536" s="8">
        <v>103.06</v>
      </c>
    </row>
    <row r="1537" spans="1:16" x14ac:dyDescent="0.35">
      <c r="A1537" s="7">
        <v>45001</v>
      </c>
      <c r="I1537" s="8">
        <v>85.22</v>
      </c>
      <c r="J1537" s="8">
        <v>88.1</v>
      </c>
      <c r="K1537" s="8">
        <v>89.07</v>
      </c>
      <c r="L1537" s="8">
        <v>92.3</v>
      </c>
      <c r="N1537" s="8">
        <v>95.99</v>
      </c>
      <c r="P1537" s="8">
        <v>101.06</v>
      </c>
    </row>
    <row r="1538" spans="1:16" x14ac:dyDescent="0.35">
      <c r="A1538" s="7">
        <v>45002</v>
      </c>
      <c r="I1538" s="8">
        <v>85.26</v>
      </c>
      <c r="J1538" s="8">
        <v>88.01</v>
      </c>
      <c r="K1538" s="8">
        <v>89.28</v>
      </c>
      <c r="L1538" s="8">
        <v>92.75</v>
      </c>
      <c r="N1538" s="8">
        <v>96.17</v>
      </c>
      <c r="P1538" s="8">
        <v>99.57</v>
      </c>
    </row>
    <row r="1539" spans="1:16" x14ac:dyDescent="0.35">
      <c r="A1539" s="7">
        <v>45003</v>
      </c>
      <c r="I1539" s="8">
        <v>85.26</v>
      </c>
      <c r="J1539" s="8">
        <v>88.01</v>
      </c>
      <c r="K1539" s="8">
        <v>89.28</v>
      </c>
      <c r="L1539" s="8">
        <v>92.75</v>
      </c>
      <c r="N1539" s="8">
        <v>96.17</v>
      </c>
      <c r="P1539" s="8">
        <v>99.57</v>
      </c>
    </row>
    <row r="1540" spans="1:16" x14ac:dyDescent="0.35">
      <c r="A1540" s="7">
        <v>45004</v>
      </c>
      <c r="I1540" s="8">
        <v>85.26</v>
      </c>
      <c r="J1540" s="8">
        <v>88.01</v>
      </c>
      <c r="K1540" s="8">
        <v>89.28</v>
      </c>
      <c r="L1540" s="8">
        <v>92.75</v>
      </c>
      <c r="N1540" s="8">
        <v>96.17</v>
      </c>
      <c r="P1540" s="8">
        <v>99.57</v>
      </c>
    </row>
    <row r="1541" spans="1:16" x14ac:dyDescent="0.35">
      <c r="A1541" s="7">
        <v>45005</v>
      </c>
      <c r="I1541" s="8">
        <v>84.03</v>
      </c>
      <c r="J1541" s="8">
        <v>86.51</v>
      </c>
      <c r="K1541" s="8">
        <v>88.15</v>
      </c>
      <c r="L1541" s="8">
        <v>90.09</v>
      </c>
      <c r="N1541" s="8">
        <v>93.43</v>
      </c>
      <c r="P1541" s="8">
        <v>97.29</v>
      </c>
    </row>
    <row r="1542" spans="1:16" x14ac:dyDescent="0.35">
      <c r="A1542" s="7">
        <v>45006</v>
      </c>
      <c r="I1542" s="8">
        <v>87</v>
      </c>
      <c r="J1542" s="8">
        <v>89.99</v>
      </c>
      <c r="K1542" s="8">
        <v>91.08</v>
      </c>
      <c r="L1542" s="8">
        <v>94.27</v>
      </c>
      <c r="N1542" s="8">
        <v>98.74</v>
      </c>
      <c r="P1542" s="8">
        <v>102</v>
      </c>
    </row>
    <row r="1543" spans="1:16" x14ac:dyDescent="0.35">
      <c r="A1543" s="7">
        <v>45007</v>
      </c>
      <c r="I1543" s="8">
        <v>86.47</v>
      </c>
      <c r="J1543" s="8">
        <v>89.54</v>
      </c>
      <c r="K1543" s="8">
        <v>90.53</v>
      </c>
      <c r="L1543" s="8">
        <v>93.68</v>
      </c>
      <c r="N1543" s="8">
        <v>97.49</v>
      </c>
      <c r="P1543" s="8">
        <v>101.33</v>
      </c>
    </row>
    <row r="1544" spans="1:16" x14ac:dyDescent="0.35">
      <c r="A1544" s="7">
        <v>45008</v>
      </c>
      <c r="I1544" s="8">
        <v>89.36</v>
      </c>
      <c r="J1544" s="8">
        <v>92.01</v>
      </c>
      <c r="K1544" s="8">
        <v>93.38</v>
      </c>
      <c r="L1544" s="8">
        <v>96.08</v>
      </c>
      <c r="N1544" s="8">
        <v>100.29</v>
      </c>
      <c r="P1544" s="8">
        <v>104.36</v>
      </c>
    </row>
    <row r="1545" spans="1:16" x14ac:dyDescent="0.35">
      <c r="A1545" s="7">
        <v>45009</v>
      </c>
      <c r="I1545" s="8">
        <v>87.05</v>
      </c>
      <c r="J1545" s="8">
        <v>89.46</v>
      </c>
      <c r="K1545" s="8">
        <v>89.21</v>
      </c>
      <c r="L1545" s="8">
        <v>94.66</v>
      </c>
      <c r="N1545" s="8">
        <v>98.19</v>
      </c>
      <c r="P1545" s="8">
        <v>104.68</v>
      </c>
    </row>
    <row r="1546" spans="1:16" x14ac:dyDescent="0.35">
      <c r="A1546" s="7">
        <v>45010</v>
      </c>
      <c r="I1546" s="8">
        <v>87.05</v>
      </c>
      <c r="J1546" s="8">
        <v>89.46</v>
      </c>
      <c r="K1546" s="8">
        <v>89.21</v>
      </c>
      <c r="L1546" s="8">
        <v>94.66</v>
      </c>
      <c r="N1546" s="8">
        <v>98.19</v>
      </c>
      <c r="P1546" s="8">
        <v>104.68</v>
      </c>
    </row>
    <row r="1547" spans="1:16" x14ac:dyDescent="0.35">
      <c r="A1547" s="7">
        <v>45011</v>
      </c>
      <c r="I1547" s="8">
        <v>87.05</v>
      </c>
      <c r="J1547" s="8">
        <v>89.46</v>
      </c>
      <c r="K1547" s="8">
        <v>89.21</v>
      </c>
      <c r="L1547" s="8">
        <v>94.66</v>
      </c>
      <c r="N1547" s="8">
        <v>98.19</v>
      </c>
      <c r="P1547" s="8">
        <v>104.68</v>
      </c>
    </row>
    <row r="1548" spans="1:16" x14ac:dyDescent="0.35">
      <c r="A1548" s="7">
        <v>45012</v>
      </c>
      <c r="I1548" s="8">
        <v>85.37</v>
      </c>
      <c r="J1548" s="8">
        <v>88.02</v>
      </c>
      <c r="K1548" s="8">
        <v>88.79</v>
      </c>
      <c r="L1548" s="8">
        <v>92.16</v>
      </c>
      <c r="N1548" s="8">
        <v>94.98</v>
      </c>
      <c r="P1548" s="8">
        <v>98.22</v>
      </c>
    </row>
    <row r="1549" spans="1:16" x14ac:dyDescent="0.35">
      <c r="A1549" s="7">
        <v>45013</v>
      </c>
      <c r="J1549" s="8">
        <v>89.51</v>
      </c>
      <c r="K1549" s="8">
        <v>90.42</v>
      </c>
      <c r="L1549" s="8">
        <v>93.81</v>
      </c>
      <c r="N1549" s="8">
        <v>97.4</v>
      </c>
      <c r="P1549" s="8">
        <v>100.68</v>
      </c>
    </row>
    <row r="1550" spans="1:16" x14ac:dyDescent="0.35">
      <c r="A1550" s="7">
        <v>45014</v>
      </c>
      <c r="J1550" s="8">
        <v>90.2</v>
      </c>
      <c r="K1550" s="8">
        <v>91</v>
      </c>
      <c r="L1550" s="8">
        <v>94.41</v>
      </c>
      <c r="N1550" s="8">
        <v>98.24</v>
      </c>
      <c r="P1550" s="8">
        <v>101.55</v>
      </c>
    </row>
    <row r="1551" spans="1:16" x14ac:dyDescent="0.35">
      <c r="A1551" s="7">
        <v>45015</v>
      </c>
      <c r="J1551" s="8">
        <v>90.64</v>
      </c>
      <c r="K1551" s="8">
        <v>91.52</v>
      </c>
      <c r="L1551" s="8">
        <v>94.99</v>
      </c>
      <c r="N1551" s="8">
        <v>98.91</v>
      </c>
      <c r="P1551" s="8">
        <v>102.54</v>
      </c>
    </row>
    <row r="1552" spans="1:16" x14ac:dyDescent="0.35">
      <c r="A1552" s="7">
        <v>45016</v>
      </c>
      <c r="J1552" s="8">
        <v>91.81</v>
      </c>
      <c r="K1552" s="8">
        <v>92.99</v>
      </c>
      <c r="L1552" s="8">
        <v>95.99</v>
      </c>
      <c r="N1552" s="8">
        <v>99.97</v>
      </c>
      <c r="P1552" s="8">
        <v>103.96</v>
      </c>
    </row>
    <row r="1553" spans="1:16" x14ac:dyDescent="0.35">
      <c r="A1553" s="7">
        <v>45017</v>
      </c>
      <c r="J1553" s="8">
        <v>91.81</v>
      </c>
      <c r="K1553" s="8">
        <v>92.99</v>
      </c>
      <c r="L1553" s="8">
        <v>95.99</v>
      </c>
      <c r="N1553" s="8">
        <v>99.97</v>
      </c>
      <c r="P1553" s="8">
        <v>103.96</v>
      </c>
    </row>
    <row r="1554" spans="1:16" x14ac:dyDescent="0.35">
      <c r="A1554" s="7">
        <v>45018</v>
      </c>
      <c r="J1554" s="8">
        <v>91.81</v>
      </c>
      <c r="K1554" s="8">
        <v>92.99</v>
      </c>
      <c r="L1554" s="8">
        <v>95.99</v>
      </c>
      <c r="N1554" s="8">
        <v>99.97</v>
      </c>
      <c r="P1554" s="8">
        <v>103.96</v>
      </c>
    </row>
    <row r="1555" spans="1:16" x14ac:dyDescent="0.35">
      <c r="A1555" s="7">
        <v>45019</v>
      </c>
      <c r="J1555" s="8">
        <v>93.96</v>
      </c>
      <c r="K1555" s="8">
        <v>94.34</v>
      </c>
      <c r="L1555" s="8">
        <v>98.73</v>
      </c>
      <c r="N1555" s="8">
        <v>102.31</v>
      </c>
      <c r="P1555" s="8">
        <v>105.52</v>
      </c>
    </row>
    <row r="1556" spans="1:16" x14ac:dyDescent="0.35">
      <c r="A1556" s="7">
        <v>45020</v>
      </c>
      <c r="J1556" s="8">
        <v>95.89</v>
      </c>
      <c r="K1556" s="8">
        <v>97.82</v>
      </c>
      <c r="L1556" s="8">
        <v>100.25</v>
      </c>
      <c r="N1556" s="8">
        <v>104.48</v>
      </c>
      <c r="P1556" s="8">
        <v>108.58</v>
      </c>
    </row>
    <row r="1557" spans="1:16" x14ac:dyDescent="0.35">
      <c r="A1557" s="7">
        <v>45021</v>
      </c>
      <c r="J1557" s="8">
        <v>96.85</v>
      </c>
      <c r="K1557" s="8">
        <v>98.51</v>
      </c>
      <c r="L1557" s="8">
        <v>101.46</v>
      </c>
      <c r="N1557" s="8">
        <v>105.55</v>
      </c>
      <c r="P1557" s="11">
        <f>P1556+AVERAGE(N1557-N1556,L1557-L1556,J1557-J1556)</f>
        <v>109.66</v>
      </c>
    </row>
    <row r="1558" spans="1:16" x14ac:dyDescent="0.35">
      <c r="A1558" s="7">
        <v>45022</v>
      </c>
      <c r="J1558" s="8">
        <v>96.85</v>
      </c>
      <c r="K1558" s="8">
        <v>98.12</v>
      </c>
      <c r="L1558" s="8">
        <v>101.39</v>
      </c>
      <c r="N1558" s="8">
        <v>105.87</v>
      </c>
      <c r="P1558" s="8">
        <v>109.64</v>
      </c>
    </row>
    <row r="1559" spans="1:16" x14ac:dyDescent="0.35">
      <c r="A1559" s="7">
        <v>45023</v>
      </c>
      <c r="J1559" s="8">
        <v>96.85</v>
      </c>
      <c r="K1559" s="8">
        <v>98.12</v>
      </c>
      <c r="L1559" s="8">
        <v>101.39</v>
      </c>
      <c r="N1559" s="8">
        <v>105.87</v>
      </c>
      <c r="P1559" s="8">
        <v>109.64</v>
      </c>
    </row>
    <row r="1560" spans="1:16" x14ac:dyDescent="0.35">
      <c r="A1560" s="7">
        <v>45024</v>
      </c>
      <c r="J1560" s="8">
        <v>96.85</v>
      </c>
      <c r="K1560" s="8">
        <v>98.12</v>
      </c>
      <c r="L1560" s="8">
        <v>101.39</v>
      </c>
      <c r="N1560" s="8">
        <v>105.87</v>
      </c>
      <c r="P1560" s="8">
        <v>109.64</v>
      </c>
    </row>
    <row r="1561" spans="1:16" x14ac:dyDescent="0.35">
      <c r="A1561" s="7">
        <v>45025</v>
      </c>
      <c r="J1561" s="8">
        <v>96.85</v>
      </c>
      <c r="K1561" s="8">
        <v>98.12</v>
      </c>
      <c r="L1561" s="8">
        <v>101.39</v>
      </c>
      <c r="N1561" s="8">
        <v>105.87</v>
      </c>
      <c r="P1561" s="8">
        <v>109.64</v>
      </c>
    </row>
    <row r="1562" spans="1:16" x14ac:dyDescent="0.35">
      <c r="A1562" s="7">
        <v>45026</v>
      </c>
      <c r="J1562" s="8">
        <v>96.85</v>
      </c>
      <c r="K1562" s="8">
        <v>98.12</v>
      </c>
      <c r="L1562" s="8">
        <v>101.39</v>
      </c>
      <c r="N1562" s="8">
        <v>105.87</v>
      </c>
      <c r="P1562" s="8">
        <v>109.64</v>
      </c>
    </row>
    <row r="1563" spans="1:16" x14ac:dyDescent="0.35">
      <c r="A1563" s="7">
        <v>45027</v>
      </c>
      <c r="J1563" s="8">
        <v>97.84</v>
      </c>
      <c r="K1563" s="8">
        <v>98.77</v>
      </c>
      <c r="L1563" s="8">
        <v>102.49</v>
      </c>
      <c r="N1563" s="8">
        <v>107.03</v>
      </c>
      <c r="P1563" s="11">
        <f>P1562+AVERAGE(N1563-N1562,L1563-L1562,J1563-J1562)</f>
        <v>110.72333333333333</v>
      </c>
    </row>
    <row r="1564" spans="1:16" x14ac:dyDescent="0.35">
      <c r="A1564" s="7">
        <v>45028</v>
      </c>
      <c r="J1564" s="8">
        <v>96.19</v>
      </c>
      <c r="K1564" s="8">
        <v>96.83</v>
      </c>
      <c r="L1564" s="8">
        <v>101.09</v>
      </c>
      <c r="N1564" s="8">
        <v>105.15</v>
      </c>
      <c r="P1564" s="8">
        <v>109.15</v>
      </c>
    </row>
    <row r="1565" spans="1:16" x14ac:dyDescent="0.35">
      <c r="A1565" s="7">
        <v>45029</v>
      </c>
      <c r="J1565" s="8">
        <v>94.22</v>
      </c>
      <c r="K1565" s="8">
        <v>95.57</v>
      </c>
      <c r="L1565" s="8">
        <v>98.63</v>
      </c>
      <c r="N1565" s="8">
        <v>103.11</v>
      </c>
      <c r="P1565" s="8">
        <v>107.42</v>
      </c>
    </row>
    <row r="1566" spans="1:16" x14ac:dyDescent="0.35">
      <c r="A1566" s="7">
        <v>45030</v>
      </c>
      <c r="J1566" s="8">
        <v>94.1</v>
      </c>
      <c r="K1566" s="8">
        <v>94.85</v>
      </c>
      <c r="L1566" s="8">
        <v>98.98</v>
      </c>
      <c r="N1566" s="8">
        <v>103.14</v>
      </c>
      <c r="P1566" s="8">
        <v>107.9</v>
      </c>
    </row>
    <row r="1567" spans="1:16" x14ac:dyDescent="0.35">
      <c r="A1567" s="7">
        <v>45031</v>
      </c>
      <c r="J1567" s="8">
        <v>94.1</v>
      </c>
      <c r="K1567" s="8">
        <v>94.85</v>
      </c>
      <c r="L1567" s="8">
        <v>98.98</v>
      </c>
      <c r="N1567" s="8">
        <v>103.14</v>
      </c>
      <c r="P1567" s="8">
        <v>107.9</v>
      </c>
    </row>
    <row r="1568" spans="1:16" x14ac:dyDescent="0.35">
      <c r="A1568" s="7">
        <v>45032</v>
      </c>
      <c r="J1568" s="8">
        <v>94.1</v>
      </c>
      <c r="K1568" s="8">
        <v>94.85</v>
      </c>
      <c r="L1568" s="8">
        <v>98.98</v>
      </c>
      <c r="N1568" s="8">
        <v>103.14</v>
      </c>
      <c r="P1568" s="8">
        <v>107.9</v>
      </c>
    </row>
    <row r="1569" spans="1:16" x14ac:dyDescent="0.35">
      <c r="A1569" s="7">
        <v>45033</v>
      </c>
      <c r="J1569" s="8">
        <v>93.12</v>
      </c>
      <c r="K1569" s="8">
        <v>94.41</v>
      </c>
      <c r="L1569" s="8">
        <v>97.49</v>
      </c>
      <c r="N1569" s="8">
        <v>101.78</v>
      </c>
      <c r="P1569" s="8">
        <v>105.93</v>
      </c>
    </row>
    <row r="1570" spans="1:16" x14ac:dyDescent="0.35">
      <c r="A1570" s="7">
        <v>45034</v>
      </c>
      <c r="J1570" s="8">
        <v>94.14</v>
      </c>
      <c r="K1570" s="8">
        <v>94.9</v>
      </c>
      <c r="L1570" s="8">
        <v>98.46</v>
      </c>
      <c r="N1570" s="8">
        <v>102.22</v>
      </c>
      <c r="P1570" s="8">
        <v>105.86</v>
      </c>
    </row>
    <row r="1571" spans="1:16" x14ac:dyDescent="0.35">
      <c r="A1571" s="7">
        <v>45035</v>
      </c>
      <c r="J1571" s="8">
        <v>95.57</v>
      </c>
      <c r="K1571" s="8">
        <v>96.99</v>
      </c>
      <c r="L1571" s="8">
        <v>100.39</v>
      </c>
      <c r="N1571" s="8">
        <v>104.76</v>
      </c>
      <c r="P1571" s="8">
        <v>108.37</v>
      </c>
    </row>
    <row r="1572" spans="1:16" x14ac:dyDescent="0.35">
      <c r="A1572" s="7">
        <v>45036</v>
      </c>
      <c r="J1572" s="8">
        <v>92.52</v>
      </c>
      <c r="K1572" s="8">
        <v>94.17</v>
      </c>
      <c r="L1572" s="8">
        <v>97.05</v>
      </c>
      <c r="N1572" s="8">
        <v>101.19</v>
      </c>
      <c r="P1572" s="8">
        <v>104.58</v>
      </c>
    </row>
    <row r="1573" spans="1:16" x14ac:dyDescent="0.35">
      <c r="A1573" s="7">
        <v>45037</v>
      </c>
      <c r="J1573" s="8">
        <v>90.77</v>
      </c>
      <c r="K1573" s="8">
        <v>91.82</v>
      </c>
      <c r="L1573" s="8">
        <v>95.41</v>
      </c>
      <c r="N1573" s="8">
        <v>99.47</v>
      </c>
      <c r="P1573" s="8">
        <v>103.27</v>
      </c>
    </row>
    <row r="1574" spans="1:16" x14ac:dyDescent="0.35">
      <c r="A1574" s="7">
        <v>45038</v>
      </c>
      <c r="J1574" s="8">
        <v>90.77</v>
      </c>
      <c r="K1574" s="8">
        <v>91.82</v>
      </c>
      <c r="L1574" s="8">
        <v>95.41</v>
      </c>
      <c r="N1574" s="8">
        <v>99.47</v>
      </c>
      <c r="P1574" s="8">
        <v>103.27</v>
      </c>
    </row>
    <row r="1575" spans="1:16" x14ac:dyDescent="0.35">
      <c r="A1575" s="7">
        <v>45039</v>
      </c>
      <c r="J1575" s="8">
        <v>90.77</v>
      </c>
      <c r="K1575" s="8">
        <v>91.82</v>
      </c>
      <c r="L1575" s="8">
        <v>95.41</v>
      </c>
      <c r="N1575" s="8">
        <v>99.47</v>
      </c>
      <c r="P1575" s="8">
        <v>103.27</v>
      </c>
    </row>
    <row r="1576" spans="1:16" x14ac:dyDescent="0.35">
      <c r="A1576" s="7">
        <v>45040</v>
      </c>
      <c r="J1576" s="8">
        <v>88.38</v>
      </c>
      <c r="K1576" s="8">
        <v>89.47</v>
      </c>
      <c r="L1576" s="8">
        <v>92.76</v>
      </c>
      <c r="N1576" s="8">
        <v>97.04</v>
      </c>
      <c r="P1576" s="8">
        <v>100.19</v>
      </c>
    </row>
    <row r="1577" spans="1:16" x14ac:dyDescent="0.35">
      <c r="A1577" s="7">
        <v>45041</v>
      </c>
      <c r="J1577" s="8">
        <v>87.67</v>
      </c>
      <c r="K1577" s="8">
        <v>88.71</v>
      </c>
      <c r="L1577" s="8">
        <v>92.2</v>
      </c>
      <c r="N1577" s="8">
        <v>96.54</v>
      </c>
      <c r="P1577" s="8">
        <v>100.17</v>
      </c>
    </row>
    <row r="1578" spans="1:16" x14ac:dyDescent="0.35">
      <c r="A1578" s="7">
        <v>45042</v>
      </c>
      <c r="J1578" s="8">
        <v>85.93</v>
      </c>
      <c r="K1578" s="8">
        <v>86.75</v>
      </c>
      <c r="L1578" s="8">
        <v>90.3</v>
      </c>
      <c r="N1578" s="8">
        <v>94.15</v>
      </c>
      <c r="P1578" s="8">
        <v>98.15</v>
      </c>
    </row>
    <row r="1579" spans="1:16" x14ac:dyDescent="0.35">
      <c r="A1579" s="7">
        <v>45043</v>
      </c>
      <c r="J1579" s="8">
        <v>86.48</v>
      </c>
      <c r="K1579" s="8">
        <v>87.92</v>
      </c>
      <c r="L1579" s="8">
        <v>90.66</v>
      </c>
      <c r="M1579" s="8">
        <v>91.42</v>
      </c>
      <c r="N1579" s="8">
        <v>94.95</v>
      </c>
      <c r="P1579" s="8">
        <v>98.66</v>
      </c>
    </row>
    <row r="1580" spans="1:16" x14ac:dyDescent="0.35">
      <c r="A1580" s="7">
        <v>45044</v>
      </c>
      <c r="J1580" s="8">
        <v>87.14</v>
      </c>
      <c r="K1580" s="8">
        <v>88.31</v>
      </c>
      <c r="L1580" s="8">
        <v>91.36</v>
      </c>
      <c r="N1580" s="8">
        <v>95.25</v>
      </c>
      <c r="P1580" s="8">
        <v>98.55</v>
      </c>
    </row>
    <row r="1581" spans="1:16" x14ac:dyDescent="0.35">
      <c r="A1581" s="7">
        <v>45045</v>
      </c>
      <c r="J1581" s="8">
        <v>87.14</v>
      </c>
      <c r="K1581" s="8">
        <v>88.31</v>
      </c>
      <c r="L1581" s="8">
        <v>91.36</v>
      </c>
      <c r="N1581" s="8">
        <v>95.25</v>
      </c>
      <c r="P1581" s="8">
        <v>98.55</v>
      </c>
    </row>
    <row r="1582" spans="1:16" x14ac:dyDescent="0.35">
      <c r="A1582" s="7">
        <v>45046</v>
      </c>
      <c r="J1582" s="8">
        <v>87.14</v>
      </c>
      <c r="K1582" s="8">
        <v>88.31</v>
      </c>
      <c r="L1582" s="8">
        <v>91.36</v>
      </c>
      <c r="N1582" s="8">
        <v>95.25</v>
      </c>
      <c r="P1582" s="8">
        <v>98.55</v>
      </c>
    </row>
    <row r="1583" spans="1:16" x14ac:dyDescent="0.35">
      <c r="A1583" s="7">
        <v>45047</v>
      </c>
      <c r="J1583" s="8">
        <v>86.43</v>
      </c>
      <c r="K1583" s="11">
        <v>87.600000000000009</v>
      </c>
      <c r="L1583" s="8">
        <v>90.42</v>
      </c>
      <c r="N1583" s="8">
        <v>94.5</v>
      </c>
      <c r="P1583" s="11">
        <v>97.84</v>
      </c>
    </row>
    <row r="1584" spans="1:16" x14ac:dyDescent="0.35">
      <c r="A1584" s="7">
        <v>45048</v>
      </c>
      <c r="J1584" s="8">
        <v>88.56</v>
      </c>
      <c r="K1584" s="8">
        <v>89.2</v>
      </c>
      <c r="L1584" s="8">
        <v>93.04</v>
      </c>
      <c r="N1584" s="8">
        <v>97.75</v>
      </c>
      <c r="P1584" s="11">
        <v>99.97</v>
      </c>
    </row>
    <row r="1585" spans="1:16" x14ac:dyDescent="0.35">
      <c r="A1585" s="7">
        <v>45049</v>
      </c>
      <c r="J1585" s="8">
        <v>85.81</v>
      </c>
      <c r="K1585" s="8">
        <v>86.69</v>
      </c>
      <c r="L1585" s="8">
        <v>90.32</v>
      </c>
      <c r="N1585" s="8">
        <v>93.61</v>
      </c>
      <c r="P1585" s="8">
        <v>100.55</v>
      </c>
    </row>
    <row r="1586" spans="1:16" x14ac:dyDescent="0.35">
      <c r="A1586" s="7">
        <v>45050</v>
      </c>
      <c r="J1586" s="8">
        <v>84.45</v>
      </c>
      <c r="K1586" s="8">
        <v>85.33</v>
      </c>
      <c r="L1586" s="8">
        <v>88.65</v>
      </c>
      <c r="N1586" s="8">
        <v>92.65</v>
      </c>
      <c r="P1586" s="8">
        <v>96.35</v>
      </c>
    </row>
    <row r="1587" spans="1:16" x14ac:dyDescent="0.35">
      <c r="A1587" s="7">
        <v>45051</v>
      </c>
      <c r="J1587" s="8">
        <v>85.62</v>
      </c>
      <c r="K1587" s="8">
        <v>87.28</v>
      </c>
      <c r="L1587" s="8">
        <v>90.03</v>
      </c>
      <c r="M1587" s="8">
        <v>91</v>
      </c>
      <c r="N1587" s="8">
        <v>94.32</v>
      </c>
      <c r="P1587" s="11">
        <v>99.97</v>
      </c>
    </row>
    <row r="1588" spans="1:16" x14ac:dyDescent="0.35">
      <c r="A1588" s="7">
        <v>45052</v>
      </c>
      <c r="J1588" s="8">
        <v>85.62</v>
      </c>
      <c r="K1588" s="8">
        <v>87.28</v>
      </c>
      <c r="L1588" s="8">
        <v>90.03</v>
      </c>
      <c r="M1588" s="8">
        <v>91</v>
      </c>
      <c r="N1588" s="8">
        <v>94.32</v>
      </c>
      <c r="P1588" s="11">
        <v>99.97</v>
      </c>
    </row>
    <row r="1589" spans="1:16" x14ac:dyDescent="0.35">
      <c r="A1589" s="7">
        <v>45053</v>
      </c>
      <c r="J1589" s="8">
        <v>85.62</v>
      </c>
      <c r="K1589" s="8">
        <v>87.28</v>
      </c>
      <c r="L1589" s="8">
        <v>90.03</v>
      </c>
      <c r="M1589" s="8">
        <v>91</v>
      </c>
      <c r="N1589" s="8">
        <v>94.32</v>
      </c>
      <c r="P1589" s="11">
        <v>99.97</v>
      </c>
    </row>
    <row r="1590" spans="1:16" x14ac:dyDescent="0.35">
      <c r="A1590" s="7">
        <v>45054</v>
      </c>
      <c r="J1590" s="8">
        <v>85.4</v>
      </c>
      <c r="K1590" s="8">
        <v>86.58</v>
      </c>
      <c r="L1590" s="8">
        <v>89.59</v>
      </c>
      <c r="N1590" s="11">
        <v>94.1</v>
      </c>
      <c r="P1590" s="11">
        <v>99.75</v>
      </c>
    </row>
    <row r="1591" spans="1:16" x14ac:dyDescent="0.35">
      <c r="A1591" s="7">
        <v>45055</v>
      </c>
      <c r="J1591" s="8">
        <v>86.21</v>
      </c>
      <c r="K1591" s="8">
        <v>87.38</v>
      </c>
      <c r="L1591" s="8">
        <v>90.54</v>
      </c>
      <c r="N1591" s="8">
        <v>94.51</v>
      </c>
      <c r="P1591" s="11">
        <v>100.55999999999999</v>
      </c>
    </row>
    <row r="1592" spans="1:16" x14ac:dyDescent="0.35">
      <c r="A1592" s="7">
        <v>45056</v>
      </c>
      <c r="J1592" s="8">
        <v>88.63</v>
      </c>
      <c r="K1592" s="8">
        <v>89.26</v>
      </c>
      <c r="L1592" s="8">
        <v>92.88</v>
      </c>
      <c r="N1592" s="8">
        <v>97.64</v>
      </c>
      <c r="P1592" s="8">
        <v>101.83</v>
      </c>
    </row>
    <row r="1593" spans="1:16" x14ac:dyDescent="0.35">
      <c r="A1593" s="7">
        <v>45057</v>
      </c>
      <c r="J1593" s="8">
        <v>89.04</v>
      </c>
      <c r="K1593" s="8">
        <v>90.12</v>
      </c>
      <c r="L1593" s="8">
        <v>93.2</v>
      </c>
      <c r="M1593" s="8">
        <v>94.19</v>
      </c>
      <c r="N1593" s="8">
        <v>97.48</v>
      </c>
      <c r="P1593" s="8">
        <v>101.4</v>
      </c>
    </row>
    <row r="1594" spans="1:16" x14ac:dyDescent="0.35">
      <c r="A1594" s="7">
        <v>45058</v>
      </c>
      <c r="J1594" s="8">
        <v>88.88</v>
      </c>
      <c r="K1594" s="8">
        <v>89.89</v>
      </c>
      <c r="L1594" s="8">
        <v>93.16</v>
      </c>
      <c r="N1594" s="8">
        <v>97.08</v>
      </c>
      <c r="P1594" s="8">
        <v>100.73</v>
      </c>
    </row>
    <row r="1595" spans="1:16" x14ac:dyDescent="0.35">
      <c r="A1595" s="7">
        <v>45059</v>
      </c>
      <c r="J1595" s="8">
        <v>88.88</v>
      </c>
      <c r="K1595" s="8">
        <v>89.89</v>
      </c>
      <c r="L1595" s="8">
        <v>93.16</v>
      </c>
      <c r="N1595" s="8">
        <v>97.08</v>
      </c>
      <c r="P1595" s="8">
        <v>100.73</v>
      </c>
    </row>
    <row r="1596" spans="1:16" x14ac:dyDescent="0.35">
      <c r="A1596" s="7">
        <v>45060</v>
      </c>
      <c r="J1596" s="8">
        <v>88.88</v>
      </c>
      <c r="K1596" s="8">
        <v>89.89</v>
      </c>
      <c r="L1596" s="8">
        <v>93.16</v>
      </c>
      <c r="N1596" s="8">
        <v>97.08</v>
      </c>
      <c r="P1596" s="8">
        <v>100.73</v>
      </c>
    </row>
    <row r="1597" spans="1:16" x14ac:dyDescent="0.35">
      <c r="A1597" s="7">
        <v>45061</v>
      </c>
      <c r="J1597" s="8">
        <v>87.31</v>
      </c>
      <c r="K1597" s="8">
        <v>88.06</v>
      </c>
      <c r="L1597" s="8">
        <v>91.43</v>
      </c>
      <c r="N1597" s="8">
        <v>95.45</v>
      </c>
      <c r="P1597" s="8">
        <v>98.68</v>
      </c>
    </row>
    <row r="1598" spans="1:16" x14ac:dyDescent="0.35">
      <c r="A1598" s="7">
        <v>45062</v>
      </c>
      <c r="J1598" s="8">
        <v>88.09</v>
      </c>
      <c r="K1598" s="8">
        <v>89.45</v>
      </c>
      <c r="L1598" s="8">
        <v>92.19</v>
      </c>
      <c r="N1598" s="8">
        <v>96.36</v>
      </c>
      <c r="P1598" s="11">
        <f>P1597+AVERAGE(N1598-N1597,L1598-L1597,J1598-J1597)</f>
        <v>99.49666666666667</v>
      </c>
    </row>
    <row r="1599" spans="1:16" x14ac:dyDescent="0.35">
      <c r="A1599" s="7">
        <v>45063</v>
      </c>
      <c r="J1599" s="8">
        <v>88.39</v>
      </c>
      <c r="K1599" s="8">
        <v>89.8</v>
      </c>
      <c r="L1599" s="8">
        <v>92.41</v>
      </c>
      <c r="N1599" s="8">
        <v>96.17</v>
      </c>
      <c r="P1599" s="11">
        <f>P1598+AVERAGE(N1599-N1598,L1599-L1598,J1599-J1598)</f>
        <v>99.606666666666669</v>
      </c>
    </row>
    <row r="1600" spans="1:16" x14ac:dyDescent="0.35">
      <c r="A1600" s="7">
        <v>45064</v>
      </c>
      <c r="J1600" s="8">
        <v>89.28</v>
      </c>
      <c r="K1600" s="8">
        <v>89.85</v>
      </c>
      <c r="L1600" s="8">
        <v>93.42</v>
      </c>
      <c r="N1600" s="8">
        <v>96.79</v>
      </c>
      <c r="P1600" s="8">
        <v>100.72</v>
      </c>
    </row>
    <row r="1601" spans="1:16" x14ac:dyDescent="0.35">
      <c r="A1601" s="7">
        <v>45065</v>
      </c>
      <c r="J1601" s="8">
        <v>90.49</v>
      </c>
      <c r="K1601" s="8">
        <v>91.9</v>
      </c>
      <c r="L1601" s="8">
        <v>94.76</v>
      </c>
      <c r="N1601" s="8">
        <v>98.85</v>
      </c>
      <c r="P1601" s="11">
        <f>P1600+AVERAGE(N1601-N1600,L1601-L1600,J1601-J1600)</f>
        <v>102.25666666666666</v>
      </c>
    </row>
    <row r="1602" spans="1:16" x14ac:dyDescent="0.35">
      <c r="A1602" s="7">
        <v>45066</v>
      </c>
      <c r="J1602" s="8">
        <v>90.49</v>
      </c>
      <c r="K1602" s="8">
        <v>91.9</v>
      </c>
      <c r="L1602" s="8">
        <v>94.76</v>
      </c>
      <c r="N1602" s="8">
        <v>98.85</v>
      </c>
      <c r="P1602" s="11">
        <f>P1601+AVERAGE(N1602-N1601,L1602-L1601,J1602-J1601)</f>
        <v>102.25666666666666</v>
      </c>
    </row>
    <row r="1603" spans="1:16" x14ac:dyDescent="0.35">
      <c r="A1603" s="7">
        <v>45067</v>
      </c>
      <c r="J1603" s="8">
        <v>90.49</v>
      </c>
      <c r="K1603" s="8">
        <v>91.9</v>
      </c>
      <c r="L1603" s="8">
        <v>94.76</v>
      </c>
      <c r="N1603" s="8">
        <v>98.85</v>
      </c>
      <c r="P1603" s="11">
        <f>P1602+AVERAGE(N1603-N1602,L1603-L1602,J1603-J1602)</f>
        <v>102.25666666666666</v>
      </c>
    </row>
    <row r="1604" spans="1:16" x14ac:dyDescent="0.35">
      <c r="A1604" s="7">
        <v>45068</v>
      </c>
      <c r="J1604" s="8">
        <v>87.63</v>
      </c>
      <c r="K1604" s="8">
        <v>88.57</v>
      </c>
      <c r="L1604" s="8">
        <v>91.77</v>
      </c>
      <c r="N1604" s="8">
        <v>95.49</v>
      </c>
      <c r="P1604" s="11">
        <f>P1603+AVERAGE(N1604-N1603,L1604-L1603,J1604-J1603)</f>
        <v>99.186666666666653</v>
      </c>
    </row>
    <row r="1605" spans="1:16" x14ac:dyDescent="0.35">
      <c r="A1605" s="7">
        <v>45069</v>
      </c>
      <c r="J1605" s="8">
        <v>86.21</v>
      </c>
      <c r="K1605" s="8">
        <v>86.87</v>
      </c>
      <c r="L1605" s="8">
        <v>90.34</v>
      </c>
      <c r="N1605" s="8">
        <v>94.31</v>
      </c>
      <c r="P1605" s="11">
        <f>P1604+AVERAGE(N1605-N1604,L1605-L1604,J1605-J1604)</f>
        <v>97.84333333333332</v>
      </c>
    </row>
    <row r="1606" spans="1:16" x14ac:dyDescent="0.35">
      <c r="A1606" s="7">
        <v>45070</v>
      </c>
      <c r="J1606" s="8">
        <v>85.22</v>
      </c>
      <c r="K1606" s="8">
        <v>86.23</v>
      </c>
      <c r="L1606" s="8">
        <v>89.41</v>
      </c>
      <c r="N1606" s="8">
        <v>93.23</v>
      </c>
      <c r="P1606" s="8">
        <v>97.4</v>
      </c>
    </row>
    <row r="1607" spans="1:16" x14ac:dyDescent="0.35">
      <c r="A1607" s="7">
        <v>45071</v>
      </c>
      <c r="J1607" s="8">
        <v>83.41</v>
      </c>
      <c r="K1607" s="8">
        <v>84.31</v>
      </c>
      <c r="L1607" s="8">
        <v>87.62</v>
      </c>
      <c r="N1607" s="8">
        <v>91.81</v>
      </c>
      <c r="P1607" s="8">
        <v>95.4</v>
      </c>
    </row>
    <row r="1608" spans="1:16" x14ac:dyDescent="0.35">
      <c r="A1608" s="7">
        <v>45072</v>
      </c>
      <c r="J1608" s="8">
        <v>82.69</v>
      </c>
      <c r="K1608" s="8">
        <v>83.51</v>
      </c>
      <c r="L1608" s="8">
        <v>86.81</v>
      </c>
      <c r="M1608" s="8">
        <v>87.6</v>
      </c>
      <c r="N1608" s="8">
        <v>90.53</v>
      </c>
      <c r="P1608" s="8">
        <v>94.49</v>
      </c>
    </row>
    <row r="1609" spans="1:16" x14ac:dyDescent="0.35">
      <c r="A1609" s="7">
        <v>45073</v>
      </c>
      <c r="J1609" s="8">
        <v>82.69</v>
      </c>
      <c r="K1609" s="8">
        <v>83.51</v>
      </c>
      <c r="L1609" s="8">
        <v>86.81</v>
      </c>
      <c r="M1609" s="8">
        <v>87.6</v>
      </c>
      <c r="N1609" s="8">
        <v>90.53</v>
      </c>
      <c r="P1609" s="8">
        <v>94.49</v>
      </c>
    </row>
    <row r="1610" spans="1:16" x14ac:dyDescent="0.35">
      <c r="A1610" s="7">
        <v>45074</v>
      </c>
      <c r="J1610" s="8">
        <v>82.69</v>
      </c>
      <c r="K1610" s="8">
        <v>83.51</v>
      </c>
      <c r="L1610" s="8">
        <v>86.81</v>
      </c>
      <c r="M1610" s="8">
        <v>87.6</v>
      </c>
      <c r="N1610" s="8">
        <v>90.53</v>
      </c>
      <c r="P1610" s="8">
        <v>94.49</v>
      </c>
    </row>
    <row r="1611" spans="1:16" x14ac:dyDescent="0.35">
      <c r="A1611" s="7">
        <v>45075</v>
      </c>
      <c r="J1611" s="8">
        <v>83.44</v>
      </c>
      <c r="K1611" s="8">
        <v>84.73</v>
      </c>
      <c r="L1611" s="8">
        <v>88.04</v>
      </c>
      <c r="N1611" s="11">
        <f>N1610+AVERAGE(L1611-L1610,J1611-J1610,H1611-H1610)</f>
        <v>91.19</v>
      </c>
      <c r="P1611" s="11">
        <f>P1610+AVERAGE(N1611-N1610,L1611-L1610,J1611-J1610)</f>
        <v>95.36999999999999</v>
      </c>
    </row>
    <row r="1612" spans="1:16" x14ac:dyDescent="0.35">
      <c r="A1612" s="7">
        <v>45076</v>
      </c>
      <c r="J1612" s="8">
        <v>81.27</v>
      </c>
      <c r="K1612" s="8">
        <v>81.8</v>
      </c>
      <c r="L1612" s="8">
        <v>85.41</v>
      </c>
      <c r="N1612" s="8">
        <v>89.58</v>
      </c>
      <c r="P1612" s="11">
        <f>P1611+AVERAGE(N1612-N1611,L1612-L1611,J1612-J1611)</f>
        <v>93.23333333333332</v>
      </c>
    </row>
    <row r="1613" spans="1:16" x14ac:dyDescent="0.35">
      <c r="A1613" s="7">
        <v>45077</v>
      </c>
      <c r="J1613" s="8">
        <v>80.61</v>
      </c>
      <c r="K1613" s="8">
        <v>81.06</v>
      </c>
      <c r="L1613" s="8">
        <v>84.63</v>
      </c>
      <c r="N1613" s="8">
        <v>88.67</v>
      </c>
      <c r="P1613" s="8">
        <v>93.19</v>
      </c>
    </row>
    <row r="1614" spans="1:16" x14ac:dyDescent="0.35">
      <c r="A1614" s="7">
        <v>45078</v>
      </c>
      <c r="J1614" s="8">
        <v>79.78</v>
      </c>
      <c r="K1614" s="8">
        <v>80.459999999999994</v>
      </c>
      <c r="L1614" s="8">
        <v>83.85</v>
      </c>
      <c r="N1614" s="8">
        <v>87.89</v>
      </c>
      <c r="P1614" s="8">
        <v>90.51</v>
      </c>
    </row>
    <row r="1615" spans="1:16" x14ac:dyDescent="0.35">
      <c r="A1615" s="7">
        <v>45079</v>
      </c>
      <c r="J1615" s="8">
        <v>79.53</v>
      </c>
      <c r="K1615" s="8">
        <v>80.260000000000005</v>
      </c>
      <c r="L1615" s="8">
        <v>83.52</v>
      </c>
      <c r="M1615" s="8">
        <v>85.48</v>
      </c>
      <c r="N1615" s="8">
        <v>87.6</v>
      </c>
      <c r="P1615" s="8">
        <v>90.95</v>
      </c>
    </row>
    <row r="1616" spans="1:16" x14ac:dyDescent="0.35">
      <c r="A1616" s="7">
        <v>45080</v>
      </c>
      <c r="J1616" s="8">
        <v>79.53</v>
      </c>
      <c r="K1616" s="8">
        <v>80.260000000000005</v>
      </c>
      <c r="L1616" s="8">
        <v>83.52</v>
      </c>
      <c r="M1616" s="8">
        <v>85.48</v>
      </c>
      <c r="N1616" s="8">
        <v>87.6</v>
      </c>
      <c r="P1616" s="8">
        <v>90.95</v>
      </c>
    </row>
    <row r="1617" spans="1:16" x14ac:dyDescent="0.35">
      <c r="A1617" s="7">
        <v>45081</v>
      </c>
      <c r="J1617" s="8">
        <v>79.53</v>
      </c>
      <c r="K1617" s="8">
        <v>80.260000000000005</v>
      </c>
      <c r="L1617" s="8">
        <v>83.52</v>
      </c>
      <c r="M1617" s="8">
        <v>85.48</v>
      </c>
      <c r="N1617" s="8">
        <v>87.6</v>
      </c>
      <c r="P1617" s="8">
        <v>90.95</v>
      </c>
    </row>
    <row r="1618" spans="1:16" x14ac:dyDescent="0.35">
      <c r="A1618" s="7">
        <v>45082</v>
      </c>
      <c r="J1618" s="8">
        <v>81.040000000000006</v>
      </c>
      <c r="K1618" s="8">
        <v>81.77</v>
      </c>
      <c r="L1618" s="8">
        <v>85.73</v>
      </c>
      <c r="M1618" s="8">
        <v>83.5</v>
      </c>
      <c r="N1618" s="8">
        <v>88.88</v>
      </c>
      <c r="P1618" s="8">
        <v>92.36</v>
      </c>
    </row>
    <row r="1619" spans="1:16" x14ac:dyDescent="0.35">
      <c r="A1619" s="7">
        <v>45083</v>
      </c>
      <c r="J1619" s="8">
        <v>81.61</v>
      </c>
      <c r="K1619" s="8">
        <v>82.37</v>
      </c>
      <c r="L1619" s="8">
        <v>85.69</v>
      </c>
      <c r="N1619" s="8">
        <v>89.55</v>
      </c>
      <c r="P1619" s="11">
        <f>P1618+AVERAGE(N1619-N1618,L1619-L1618,J1619-J1618)</f>
        <v>92.759999999999991</v>
      </c>
    </row>
    <row r="1620" spans="1:16" x14ac:dyDescent="0.35">
      <c r="A1620" s="7">
        <v>45084</v>
      </c>
      <c r="J1620" s="8">
        <v>81.94</v>
      </c>
      <c r="K1620" s="8">
        <v>83.95</v>
      </c>
      <c r="L1620" s="8">
        <v>85.96</v>
      </c>
      <c r="N1620" s="8">
        <v>90.12</v>
      </c>
      <c r="P1620" s="11">
        <f>P1619+AVERAGE(N1620-N1619,L1620-L1619,J1620-J1619)</f>
        <v>93.149999999999991</v>
      </c>
    </row>
    <row r="1621" spans="1:16" x14ac:dyDescent="0.35">
      <c r="A1621" s="7">
        <v>45085</v>
      </c>
      <c r="J1621" s="8">
        <v>83.81</v>
      </c>
      <c r="K1621" s="8">
        <v>84.85</v>
      </c>
      <c r="L1621" s="8">
        <v>88.05</v>
      </c>
      <c r="N1621" s="8">
        <v>92</v>
      </c>
      <c r="P1621" s="8">
        <v>95</v>
      </c>
    </row>
    <row r="1622" spans="1:16" x14ac:dyDescent="0.35">
      <c r="A1622" s="7">
        <v>45086</v>
      </c>
      <c r="J1622" s="8">
        <v>85.64</v>
      </c>
      <c r="K1622" s="8">
        <v>87.08</v>
      </c>
      <c r="L1622" s="8">
        <v>89.73</v>
      </c>
      <c r="N1622" s="8">
        <v>93.42</v>
      </c>
      <c r="P1622" s="8">
        <v>96.7</v>
      </c>
    </row>
    <row r="1623" spans="1:16" x14ac:dyDescent="0.35">
      <c r="A1623" s="7">
        <v>45087</v>
      </c>
      <c r="J1623" s="8">
        <v>85.64</v>
      </c>
      <c r="K1623" s="8">
        <v>87.08</v>
      </c>
      <c r="L1623" s="8">
        <v>89.73</v>
      </c>
      <c r="N1623" s="8">
        <v>93.42</v>
      </c>
      <c r="P1623" s="8">
        <v>96.7</v>
      </c>
    </row>
    <row r="1624" spans="1:16" x14ac:dyDescent="0.35">
      <c r="A1624" s="7">
        <v>45088</v>
      </c>
      <c r="J1624" s="8">
        <v>85.64</v>
      </c>
      <c r="K1624" s="8">
        <v>87.08</v>
      </c>
      <c r="L1624" s="8">
        <v>89.73</v>
      </c>
      <c r="N1624" s="8">
        <v>93.42</v>
      </c>
      <c r="P1624" s="8">
        <v>96.7</v>
      </c>
    </row>
    <row r="1625" spans="1:16" x14ac:dyDescent="0.35">
      <c r="A1625" s="7">
        <v>45089</v>
      </c>
      <c r="J1625" s="8">
        <v>86.69</v>
      </c>
      <c r="K1625" s="8">
        <v>88.39</v>
      </c>
      <c r="L1625" s="8">
        <v>90.86</v>
      </c>
      <c r="N1625" s="8">
        <v>95.4</v>
      </c>
      <c r="P1625" s="8">
        <v>99.55</v>
      </c>
    </row>
    <row r="1626" spans="1:16" x14ac:dyDescent="0.35">
      <c r="A1626" s="7">
        <v>45090</v>
      </c>
      <c r="J1626" s="8">
        <v>88.88</v>
      </c>
      <c r="K1626" s="8">
        <v>90</v>
      </c>
      <c r="L1626" s="8">
        <v>93.29</v>
      </c>
      <c r="N1626" s="8">
        <v>97.23</v>
      </c>
      <c r="P1626" s="8">
        <v>100.94</v>
      </c>
    </row>
    <row r="1627" spans="1:16" x14ac:dyDescent="0.35">
      <c r="A1627" s="7">
        <v>45091</v>
      </c>
      <c r="J1627" s="8">
        <v>92.7</v>
      </c>
      <c r="K1627" s="8">
        <v>93.17</v>
      </c>
      <c r="L1627" s="8">
        <v>97.19</v>
      </c>
      <c r="N1627" s="8">
        <v>101.19</v>
      </c>
      <c r="P1627" s="8">
        <v>104.43</v>
      </c>
    </row>
    <row r="1628" spans="1:16" x14ac:dyDescent="0.35">
      <c r="A1628" s="7">
        <v>45092</v>
      </c>
      <c r="J1628" s="8">
        <v>93.47</v>
      </c>
      <c r="K1628" s="8">
        <v>95.49</v>
      </c>
      <c r="L1628" s="8">
        <v>98.07</v>
      </c>
      <c r="N1628" s="8">
        <v>101.96</v>
      </c>
      <c r="P1628" s="8">
        <v>105.75</v>
      </c>
    </row>
    <row r="1629" spans="1:16" x14ac:dyDescent="0.35">
      <c r="A1629" s="7">
        <v>45093</v>
      </c>
      <c r="J1629" s="8">
        <v>91.73</v>
      </c>
      <c r="K1629" s="8">
        <v>93.46</v>
      </c>
      <c r="L1629" s="8">
        <v>96.19</v>
      </c>
      <c r="N1629" s="8">
        <v>100</v>
      </c>
      <c r="P1629" s="8">
        <v>103.42</v>
      </c>
    </row>
    <row r="1630" spans="1:16" x14ac:dyDescent="0.35">
      <c r="A1630" s="7">
        <v>45094</v>
      </c>
      <c r="J1630" s="8">
        <v>91.73</v>
      </c>
      <c r="K1630" s="8">
        <v>93.46</v>
      </c>
      <c r="L1630" s="8">
        <v>96.19</v>
      </c>
      <c r="N1630" s="8">
        <v>100</v>
      </c>
      <c r="P1630" s="8">
        <v>103.42</v>
      </c>
    </row>
    <row r="1631" spans="1:16" x14ac:dyDescent="0.35">
      <c r="A1631" s="7">
        <v>45095</v>
      </c>
      <c r="J1631" s="8">
        <v>91.73</v>
      </c>
      <c r="K1631" s="8">
        <v>93.46</v>
      </c>
      <c r="L1631" s="8">
        <v>96.19</v>
      </c>
      <c r="N1631" s="8">
        <v>100</v>
      </c>
      <c r="P1631" s="8">
        <v>103.42</v>
      </c>
    </row>
    <row r="1632" spans="1:16" x14ac:dyDescent="0.35">
      <c r="A1632" s="7">
        <v>45096</v>
      </c>
      <c r="J1632" s="8">
        <v>91.66</v>
      </c>
      <c r="K1632" s="8">
        <v>93.09</v>
      </c>
      <c r="L1632" s="8">
        <v>95.91</v>
      </c>
      <c r="M1632" s="8">
        <v>97.75</v>
      </c>
      <c r="N1632" s="8">
        <v>99.83</v>
      </c>
      <c r="P1632" s="8">
        <v>103.57</v>
      </c>
    </row>
    <row r="1633" spans="1:16" x14ac:dyDescent="0.35">
      <c r="A1633" s="7">
        <v>45097</v>
      </c>
      <c r="J1633" s="8">
        <v>94.56</v>
      </c>
      <c r="K1633" s="8">
        <v>95.83</v>
      </c>
      <c r="L1633" s="8">
        <v>98.59</v>
      </c>
      <c r="N1633" s="8">
        <v>102.32</v>
      </c>
      <c r="P1633" s="8">
        <v>106.43</v>
      </c>
    </row>
    <row r="1634" spans="1:16" x14ac:dyDescent="0.35">
      <c r="A1634" s="7">
        <v>45098</v>
      </c>
      <c r="J1634" s="8">
        <v>92.35</v>
      </c>
      <c r="K1634" s="8">
        <v>93.39</v>
      </c>
      <c r="L1634" s="8">
        <v>97</v>
      </c>
      <c r="N1634" s="8">
        <v>100.82</v>
      </c>
      <c r="P1634" s="8">
        <v>102.7</v>
      </c>
    </row>
    <row r="1635" spans="1:16" x14ac:dyDescent="0.35">
      <c r="A1635" s="7">
        <v>45099</v>
      </c>
      <c r="J1635" s="8">
        <v>89.61</v>
      </c>
      <c r="K1635" s="8">
        <v>90.85</v>
      </c>
      <c r="L1635" s="8">
        <v>93.96</v>
      </c>
      <c r="N1635" s="8">
        <v>97.72</v>
      </c>
      <c r="P1635" s="8">
        <v>101.71</v>
      </c>
    </row>
    <row r="1636" spans="1:16" x14ac:dyDescent="0.35">
      <c r="A1636" s="7">
        <v>45100</v>
      </c>
      <c r="J1636" s="8">
        <v>89.22</v>
      </c>
      <c r="K1636" s="8">
        <v>90.73</v>
      </c>
      <c r="L1636" s="8">
        <v>93.99</v>
      </c>
      <c r="N1636" s="8">
        <v>97.24</v>
      </c>
      <c r="P1636" s="11">
        <f>P1635+AVERAGE(N1636-N1635,L1636-L1635,J1636-J1635)</f>
        <v>101.42999999999999</v>
      </c>
    </row>
    <row r="1637" spans="1:16" x14ac:dyDescent="0.35">
      <c r="A1637" s="7">
        <v>45101</v>
      </c>
      <c r="J1637" s="8">
        <v>89.22</v>
      </c>
      <c r="K1637" s="8">
        <v>90.73</v>
      </c>
      <c r="L1637" s="8">
        <v>93.99</v>
      </c>
      <c r="N1637" s="8">
        <v>97.24</v>
      </c>
      <c r="P1637" s="11">
        <f>P1636+AVERAGE(N1637-N1636,L1637-L1636,J1637-J1636)</f>
        <v>101.42999999999999</v>
      </c>
    </row>
    <row r="1638" spans="1:16" x14ac:dyDescent="0.35">
      <c r="A1638" s="7">
        <v>45102</v>
      </c>
      <c r="J1638" s="8">
        <v>89.22</v>
      </c>
      <c r="K1638" s="8">
        <v>90.73</v>
      </c>
      <c r="L1638" s="8">
        <v>93.99</v>
      </c>
      <c r="N1638" s="8">
        <v>97.24</v>
      </c>
      <c r="P1638" s="11">
        <f>P1637+AVERAGE(N1638-N1637,L1638-L1637,J1638-J1637)</f>
        <v>101.42999999999999</v>
      </c>
    </row>
    <row r="1639" spans="1:16" x14ac:dyDescent="0.35">
      <c r="A1639" s="7">
        <v>45103</v>
      </c>
      <c r="J1639" s="8">
        <v>87.43</v>
      </c>
      <c r="K1639" s="8">
        <v>88.59</v>
      </c>
      <c r="L1639" s="8">
        <v>92.36</v>
      </c>
      <c r="N1639" s="8">
        <v>95.81</v>
      </c>
      <c r="P1639" s="8">
        <v>99.21</v>
      </c>
    </row>
    <row r="1640" spans="1:16" x14ac:dyDescent="0.35">
      <c r="A1640" s="7">
        <v>45104</v>
      </c>
      <c r="J1640" s="8">
        <v>87.54</v>
      </c>
      <c r="K1640" s="8">
        <v>88.3</v>
      </c>
      <c r="L1640" s="8">
        <v>92.13</v>
      </c>
      <c r="N1640" s="8">
        <v>96.52</v>
      </c>
      <c r="P1640" s="8">
        <v>99.68</v>
      </c>
    </row>
    <row r="1641" spans="1:16" x14ac:dyDescent="0.35">
      <c r="A1641" s="7">
        <v>45105</v>
      </c>
      <c r="J1641" s="8">
        <v>87.88</v>
      </c>
      <c r="K1641" s="8">
        <v>89.09</v>
      </c>
      <c r="L1641" s="8">
        <v>92.47</v>
      </c>
      <c r="N1641" s="8">
        <v>96.07</v>
      </c>
      <c r="P1641" s="11">
        <f>P1640+AVERAGE(N1641-N1640,L1641-L1640,J1641-J1640)</f>
        <v>99.756666666666675</v>
      </c>
    </row>
    <row r="1642" spans="1:16" x14ac:dyDescent="0.35">
      <c r="A1642" s="7">
        <v>45106</v>
      </c>
      <c r="J1642" s="8">
        <v>88.15</v>
      </c>
      <c r="K1642" s="8">
        <v>89.34</v>
      </c>
      <c r="L1642" s="8">
        <v>92.75</v>
      </c>
      <c r="N1642" s="8">
        <v>96.42</v>
      </c>
      <c r="P1642" s="8">
        <v>99.47</v>
      </c>
    </row>
    <row r="1643" spans="1:16" x14ac:dyDescent="0.35">
      <c r="A1643" s="7">
        <v>45107</v>
      </c>
      <c r="J1643" s="8">
        <v>88.57</v>
      </c>
      <c r="K1643" s="11">
        <f>+K1642+0.4</f>
        <v>89.740000000000009</v>
      </c>
      <c r="L1643" s="8">
        <v>93.23</v>
      </c>
      <c r="N1643" s="8">
        <v>97.75</v>
      </c>
      <c r="P1643" s="11">
        <f>P1642+AVERAGE(N1643-N1642,L1643-L1642,J1643-J1642)</f>
        <v>100.21333333333332</v>
      </c>
    </row>
    <row r="1644" spans="1:16" x14ac:dyDescent="0.35">
      <c r="A1644" s="7">
        <v>45108</v>
      </c>
      <c r="J1644" s="8">
        <v>88.57</v>
      </c>
      <c r="K1644" s="11">
        <f>+K1643</f>
        <v>89.740000000000009</v>
      </c>
      <c r="L1644" s="8">
        <v>93.23</v>
      </c>
      <c r="N1644" s="8">
        <v>97.75</v>
      </c>
      <c r="P1644" s="11">
        <f>P1643+AVERAGE(N1644-N1643,L1644-L1643,J1644-J1643)</f>
        <v>100.21333333333332</v>
      </c>
    </row>
    <row r="1645" spans="1:16" x14ac:dyDescent="0.35">
      <c r="A1645" s="7">
        <v>45109</v>
      </c>
      <c r="J1645" s="8">
        <v>88.57</v>
      </c>
      <c r="K1645" s="11">
        <f>+K1644</f>
        <v>89.740000000000009</v>
      </c>
      <c r="L1645" s="8">
        <v>93.23</v>
      </c>
      <c r="N1645" s="8">
        <v>97.75</v>
      </c>
      <c r="P1645" s="11">
        <f>P1644+AVERAGE(N1645-N1644,L1645-L1644,J1645-J1644)</f>
        <v>100.21333333333332</v>
      </c>
    </row>
    <row r="1646" spans="1:16" x14ac:dyDescent="0.35">
      <c r="A1646" s="7">
        <v>45110</v>
      </c>
      <c r="J1646" s="8">
        <v>88.3</v>
      </c>
      <c r="K1646" s="8">
        <v>89.02</v>
      </c>
      <c r="L1646" s="8">
        <v>93.46</v>
      </c>
      <c r="N1646" s="8">
        <v>97.5</v>
      </c>
      <c r="P1646" s="8">
        <v>101.35</v>
      </c>
    </row>
    <row r="1647" spans="1:16" x14ac:dyDescent="0.35">
      <c r="A1647" s="7">
        <v>45111</v>
      </c>
      <c r="J1647" s="8">
        <v>87.36</v>
      </c>
      <c r="K1647" s="8">
        <v>88.35</v>
      </c>
      <c r="L1647" s="8">
        <v>92.11</v>
      </c>
      <c r="N1647" s="8">
        <v>96.22</v>
      </c>
      <c r="P1647" s="8">
        <v>99.54</v>
      </c>
    </row>
    <row r="1648" spans="1:16" x14ac:dyDescent="0.35">
      <c r="A1648" s="7">
        <v>45112</v>
      </c>
      <c r="J1648" s="8">
        <v>86.3</v>
      </c>
      <c r="K1648" s="8">
        <v>87.26</v>
      </c>
      <c r="L1648" s="8">
        <v>91.05</v>
      </c>
      <c r="N1648" s="8">
        <v>95.2</v>
      </c>
      <c r="P1648" s="8">
        <v>99.1</v>
      </c>
    </row>
    <row r="1649" spans="1:16" x14ac:dyDescent="0.35">
      <c r="A1649" s="7">
        <v>45113</v>
      </c>
      <c r="J1649" s="8">
        <v>85.8</v>
      </c>
      <c r="K1649" s="8">
        <v>87</v>
      </c>
      <c r="L1649" s="8">
        <v>90.31</v>
      </c>
      <c r="N1649" s="8">
        <v>94.64</v>
      </c>
      <c r="P1649" s="8">
        <v>98.25</v>
      </c>
    </row>
    <row r="1650" spans="1:16" x14ac:dyDescent="0.35">
      <c r="A1650" s="7">
        <v>45114</v>
      </c>
      <c r="J1650" s="8">
        <v>86.36</v>
      </c>
      <c r="K1650" s="8">
        <v>87.29</v>
      </c>
      <c r="L1650" s="8">
        <v>91.13</v>
      </c>
      <c r="N1650" s="8">
        <v>95.63</v>
      </c>
      <c r="P1650" s="8">
        <v>98.6</v>
      </c>
    </row>
    <row r="1651" spans="1:16" x14ac:dyDescent="0.35">
      <c r="A1651" s="7">
        <v>45115</v>
      </c>
      <c r="J1651" s="8">
        <v>86.36</v>
      </c>
      <c r="K1651" s="8">
        <v>87.29</v>
      </c>
      <c r="L1651" s="8">
        <v>91.13</v>
      </c>
      <c r="N1651" s="8">
        <v>95.63</v>
      </c>
      <c r="P1651" s="8">
        <v>98.6</v>
      </c>
    </row>
    <row r="1652" spans="1:16" x14ac:dyDescent="0.35">
      <c r="A1652" s="7">
        <v>45116</v>
      </c>
      <c r="J1652" s="8">
        <v>86.36</v>
      </c>
      <c r="K1652" s="8">
        <v>87.29</v>
      </c>
      <c r="L1652" s="8">
        <v>91.13</v>
      </c>
      <c r="N1652" s="8">
        <v>95.63</v>
      </c>
      <c r="P1652" s="8">
        <v>98.6</v>
      </c>
    </row>
    <row r="1653" spans="1:16" x14ac:dyDescent="0.35">
      <c r="A1653" s="7">
        <v>45117</v>
      </c>
      <c r="J1653" s="8">
        <v>86.2</v>
      </c>
      <c r="K1653" s="8">
        <v>87.14</v>
      </c>
      <c r="L1653" s="8">
        <v>91.01</v>
      </c>
      <c r="N1653" s="8">
        <v>94.95</v>
      </c>
      <c r="P1653" s="11">
        <f>P1652+AVERAGE(N1653-N1652,L1653-L1652,J1653-J1652)</f>
        <v>98.28</v>
      </c>
    </row>
    <row r="1654" spans="1:16" x14ac:dyDescent="0.35">
      <c r="A1654" s="7">
        <v>45118</v>
      </c>
      <c r="J1654" s="8">
        <v>86.06</v>
      </c>
      <c r="K1654" s="8">
        <v>86.92</v>
      </c>
      <c r="L1654" s="8">
        <v>90.59</v>
      </c>
      <c r="N1654" s="8">
        <v>94.48</v>
      </c>
      <c r="P1654" s="11">
        <f>P1653+AVERAGE(N1654-N1653,L1654-L1653,J1654-J1653)</f>
        <v>97.936666666666667</v>
      </c>
    </row>
    <row r="1655" spans="1:16" x14ac:dyDescent="0.35">
      <c r="A1655" s="7">
        <v>45119</v>
      </c>
      <c r="J1655" s="8">
        <v>86.97</v>
      </c>
      <c r="K1655" s="8">
        <v>88.53</v>
      </c>
      <c r="L1655" s="8">
        <v>91.38</v>
      </c>
      <c r="M1655" s="8">
        <v>92.81</v>
      </c>
      <c r="N1655" s="8">
        <v>94.77</v>
      </c>
      <c r="P1655" s="11">
        <f>P1654+AVERAGE(N1655-N1654,L1655-L1654,J1655-J1654)</f>
        <v>98.6</v>
      </c>
    </row>
    <row r="1656" spans="1:16" x14ac:dyDescent="0.35">
      <c r="A1656" s="7">
        <v>45120</v>
      </c>
      <c r="J1656" s="8">
        <v>86.16</v>
      </c>
      <c r="K1656" s="8">
        <v>87.29</v>
      </c>
      <c r="L1656" s="8">
        <v>90.54</v>
      </c>
      <c r="N1656" s="8">
        <v>94.59</v>
      </c>
      <c r="P1656" s="8">
        <v>97.9</v>
      </c>
    </row>
    <row r="1657" spans="1:16" x14ac:dyDescent="0.35">
      <c r="A1657" s="7">
        <v>45121</v>
      </c>
      <c r="J1657" s="8">
        <v>86.7</v>
      </c>
      <c r="K1657" s="8">
        <v>88.24</v>
      </c>
      <c r="L1657" s="8">
        <v>91.4</v>
      </c>
      <c r="N1657" s="8">
        <v>95.66</v>
      </c>
      <c r="P1657" s="11">
        <f>P1656+AVERAGE(N1657-N1656,L1657-L1656,J1657-J1656)</f>
        <v>98.723333333333343</v>
      </c>
    </row>
    <row r="1658" spans="1:16" x14ac:dyDescent="0.35">
      <c r="A1658" s="7">
        <v>45122</v>
      </c>
      <c r="J1658" s="8">
        <v>86.7</v>
      </c>
      <c r="K1658" s="8">
        <v>88.24</v>
      </c>
      <c r="L1658" s="8">
        <v>91.4</v>
      </c>
      <c r="N1658" s="8">
        <v>95.66</v>
      </c>
      <c r="P1658" s="11">
        <f>P1657+AVERAGE(N1658-N1657,L1658-L1657,J1658-J1657)</f>
        <v>98.723333333333343</v>
      </c>
    </row>
    <row r="1659" spans="1:16" x14ac:dyDescent="0.35">
      <c r="A1659" s="7">
        <v>45123</v>
      </c>
      <c r="J1659" s="8">
        <v>86.7</v>
      </c>
      <c r="K1659" s="8">
        <v>88.24</v>
      </c>
      <c r="L1659" s="8">
        <v>91.4</v>
      </c>
      <c r="N1659" s="8">
        <v>95.66</v>
      </c>
      <c r="P1659" s="11">
        <f>P1658+AVERAGE(N1659-N1658,L1659-L1658,J1659-J1658)</f>
        <v>98.723333333333343</v>
      </c>
    </row>
    <row r="1660" spans="1:16" x14ac:dyDescent="0.35">
      <c r="A1660" s="7">
        <v>45124</v>
      </c>
      <c r="J1660" s="8">
        <v>86.18</v>
      </c>
      <c r="K1660" s="8">
        <v>87.48</v>
      </c>
      <c r="L1660" s="8">
        <v>90.51</v>
      </c>
      <c r="N1660" s="8">
        <v>94.92</v>
      </c>
      <c r="P1660" s="11">
        <f>P1659+AVERAGE(N1660-N1659,L1660-L1659,J1660-J1659)</f>
        <v>98.006666666666675</v>
      </c>
    </row>
    <row r="1661" spans="1:16" x14ac:dyDescent="0.35">
      <c r="A1661" s="7">
        <v>45125</v>
      </c>
      <c r="J1661" s="8">
        <v>87.06</v>
      </c>
      <c r="K1661" s="8">
        <v>87.99</v>
      </c>
      <c r="L1661" s="8">
        <v>91.33</v>
      </c>
      <c r="N1661" s="8">
        <v>95.61</v>
      </c>
      <c r="P1661" s="11">
        <f>P1660+AVERAGE(N1661-N1660,L1661-L1660,J1661-J1660)</f>
        <v>98.803333333333342</v>
      </c>
    </row>
    <row r="1662" spans="1:16" x14ac:dyDescent="0.35">
      <c r="A1662" s="7">
        <v>45126</v>
      </c>
      <c r="J1662" s="8">
        <v>88.34</v>
      </c>
      <c r="K1662" s="8">
        <v>88.89</v>
      </c>
      <c r="L1662" s="8">
        <v>92.7</v>
      </c>
      <c r="M1662" s="8">
        <v>94.77</v>
      </c>
      <c r="N1662" s="8">
        <v>97.24</v>
      </c>
      <c r="P1662" s="8">
        <v>100.7</v>
      </c>
    </row>
    <row r="1663" spans="1:16" x14ac:dyDescent="0.35">
      <c r="A1663" s="7">
        <v>45127</v>
      </c>
      <c r="J1663" s="8">
        <v>90.3</v>
      </c>
      <c r="K1663" s="8">
        <v>90.9</v>
      </c>
      <c r="L1663" s="8">
        <v>94.8</v>
      </c>
      <c r="N1663" s="8">
        <v>98.75</v>
      </c>
      <c r="P1663" s="8">
        <v>101.92</v>
      </c>
    </row>
    <row r="1664" spans="1:16" x14ac:dyDescent="0.35">
      <c r="A1664" s="7">
        <v>45128</v>
      </c>
      <c r="J1664" s="8">
        <v>91.54</v>
      </c>
      <c r="K1664" s="8">
        <v>92.81</v>
      </c>
      <c r="L1664" s="8">
        <v>95.99</v>
      </c>
      <c r="N1664" s="8">
        <v>100.11</v>
      </c>
      <c r="P1664" s="8">
        <v>103.55</v>
      </c>
    </row>
    <row r="1665" spans="1:18" x14ac:dyDescent="0.35">
      <c r="A1665" s="7">
        <v>45129</v>
      </c>
      <c r="J1665" s="8">
        <v>91.54</v>
      </c>
      <c r="K1665" s="8">
        <v>92.81</v>
      </c>
      <c r="L1665" s="8">
        <v>95.99</v>
      </c>
      <c r="N1665" s="8">
        <v>100.11</v>
      </c>
      <c r="P1665" s="8">
        <v>103.55</v>
      </c>
    </row>
    <row r="1666" spans="1:18" x14ac:dyDescent="0.35">
      <c r="A1666" s="7">
        <v>45130</v>
      </c>
      <c r="J1666" s="8">
        <v>91.54</v>
      </c>
      <c r="K1666" s="8">
        <v>92.81</v>
      </c>
      <c r="L1666" s="8">
        <v>95.99</v>
      </c>
      <c r="N1666" s="8">
        <v>100.11</v>
      </c>
      <c r="P1666" s="8">
        <v>103.55</v>
      </c>
    </row>
    <row r="1667" spans="1:18" x14ac:dyDescent="0.35">
      <c r="A1667" s="7">
        <v>45131</v>
      </c>
      <c r="J1667" s="8">
        <v>91.37</v>
      </c>
      <c r="K1667" s="8">
        <v>92.54</v>
      </c>
      <c r="L1667" s="8">
        <v>95.65</v>
      </c>
      <c r="M1667" s="8">
        <v>96.86</v>
      </c>
      <c r="N1667" s="8">
        <v>99.36</v>
      </c>
      <c r="P1667" s="11">
        <f>P1666+AVERAGE(N1667-N1666,L1667-L1666,J1667-J1666)</f>
        <v>103.13</v>
      </c>
    </row>
    <row r="1668" spans="1:18" x14ac:dyDescent="0.35">
      <c r="A1668" s="7">
        <v>45132</v>
      </c>
      <c r="J1668" s="8">
        <v>91.98</v>
      </c>
      <c r="K1668" s="8">
        <v>93.07</v>
      </c>
      <c r="L1668" s="8">
        <v>96.39</v>
      </c>
      <c r="M1668" s="8">
        <v>97.23</v>
      </c>
      <c r="N1668" s="8">
        <v>100.44</v>
      </c>
      <c r="P1668" s="8">
        <v>103.91</v>
      </c>
    </row>
    <row r="1669" spans="1:18" x14ac:dyDescent="0.35">
      <c r="A1669" s="7">
        <v>45133</v>
      </c>
      <c r="J1669" s="8">
        <v>92.1</v>
      </c>
      <c r="K1669" s="8">
        <v>93.97</v>
      </c>
      <c r="L1669" s="8">
        <v>96.75</v>
      </c>
      <c r="M1669" s="8">
        <v>98.19</v>
      </c>
      <c r="N1669" s="8">
        <v>101.12</v>
      </c>
      <c r="P1669" s="8">
        <v>104.3</v>
      </c>
    </row>
    <row r="1670" spans="1:18" x14ac:dyDescent="0.35">
      <c r="A1670" s="7">
        <v>45134</v>
      </c>
      <c r="J1670" s="8">
        <v>90.24</v>
      </c>
      <c r="K1670" s="8">
        <v>91.33</v>
      </c>
      <c r="L1670" s="8">
        <v>94.78</v>
      </c>
      <c r="M1670" s="8">
        <v>95.91</v>
      </c>
      <c r="N1670" s="8">
        <v>98.68</v>
      </c>
      <c r="P1670" s="8">
        <v>102.37</v>
      </c>
    </row>
    <row r="1671" spans="1:18" x14ac:dyDescent="0.35">
      <c r="A1671" s="7">
        <v>45135</v>
      </c>
      <c r="J1671" s="8">
        <v>88.92</v>
      </c>
      <c r="K1671" s="8">
        <v>90.31</v>
      </c>
      <c r="L1671" s="8">
        <v>93.26</v>
      </c>
      <c r="M1671" s="8">
        <v>94.58</v>
      </c>
      <c r="N1671" s="8">
        <v>97.31</v>
      </c>
      <c r="P1671" s="8">
        <v>100.18</v>
      </c>
    </row>
    <row r="1672" spans="1:18" x14ac:dyDescent="0.35">
      <c r="A1672" s="7">
        <v>45136</v>
      </c>
      <c r="J1672" s="8">
        <v>88.92</v>
      </c>
      <c r="K1672" s="8">
        <v>90.31</v>
      </c>
      <c r="L1672" s="8">
        <v>93.26</v>
      </c>
      <c r="M1672" s="8">
        <v>94.58</v>
      </c>
      <c r="N1672" s="8">
        <v>97.31</v>
      </c>
      <c r="P1672" s="8">
        <v>100.18</v>
      </c>
    </row>
    <row r="1673" spans="1:18" x14ac:dyDescent="0.35">
      <c r="A1673" s="7">
        <v>45137</v>
      </c>
      <c r="J1673" s="8">
        <v>88.92</v>
      </c>
      <c r="K1673" s="8">
        <v>90.31</v>
      </c>
      <c r="L1673" s="8">
        <v>93.26</v>
      </c>
      <c r="M1673" s="8">
        <v>94.58</v>
      </c>
      <c r="N1673" s="8">
        <v>97.31</v>
      </c>
      <c r="P1673" s="8">
        <v>100.18</v>
      </c>
    </row>
    <row r="1674" spans="1:18" x14ac:dyDescent="0.35">
      <c r="A1674" s="7">
        <v>45138</v>
      </c>
      <c r="J1674" s="8">
        <v>87.41</v>
      </c>
      <c r="K1674" s="8">
        <v>88.82</v>
      </c>
      <c r="L1674" s="8">
        <v>91.8</v>
      </c>
      <c r="M1674" s="8">
        <v>92.94</v>
      </c>
      <c r="N1674" s="8">
        <v>95.59</v>
      </c>
      <c r="P1674" s="8">
        <v>97.92</v>
      </c>
    </row>
    <row r="1675" spans="1:18" x14ac:dyDescent="0.35">
      <c r="A1675" s="7">
        <v>45139</v>
      </c>
      <c r="J1675" s="8">
        <v>85.9</v>
      </c>
      <c r="K1675" s="8">
        <v>86.77</v>
      </c>
      <c r="L1675" s="8">
        <v>90.71</v>
      </c>
      <c r="M1675" s="8">
        <v>92.14</v>
      </c>
      <c r="N1675" s="8">
        <v>94.43</v>
      </c>
      <c r="P1675" s="8">
        <v>97.19</v>
      </c>
    </row>
    <row r="1676" spans="1:18" x14ac:dyDescent="0.35">
      <c r="A1676" s="7">
        <v>45140</v>
      </c>
      <c r="J1676" s="8">
        <v>83.67</v>
      </c>
      <c r="K1676" s="8">
        <v>84.71</v>
      </c>
      <c r="L1676" s="8">
        <v>87.97</v>
      </c>
      <c r="M1676" s="8">
        <v>89.49</v>
      </c>
      <c r="N1676" s="8">
        <v>92.04</v>
      </c>
      <c r="P1676" s="8">
        <v>94.55</v>
      </c>
    </row>
    <row r="1677" spans="1:18" x14ac:dyDescent="0.35">
      <c r="A1677" s="7">
        <v>45141</v>
      </c>
      <c r="J1677" s="8">
        <v>84.65</v>
      </c>
      <c r="K1677" s="8">
        <v>85.1</v>
      </c>
      <c r="L1677" s="8">
        <v>88.91</v>
      </c>
      <c r="M1677" s="8">
        <v>90</v>
      </c>
      <c r="N1677" s="8">
        <v>92.72</v>
      </c>
      <c r="P1677" s="8">
        <v>96.29</v>
      </c>
    </row>
    <row r="1678" spans="1:18" x14ac:dyDescent="0.35">
      <c r="A1678" s="7">
        <v>45142</v>
      </c>
      <c r="J1678" s="8">
        <v>84.29</v>
      </c>
      <c r="K1678" s="8">
        <v>84.96</v>
      </c>
      <c r="L1678" s="8">
        <v>88.81</v>
      </c>
      <c r="M1678" s="11">
        <f>M1677+AVERAGE(J1678-J1677,N1678-N1677,L1678-L1677)</f>
        <v>89.63666666666667</v>
      </c>
      <c r="N1678" s="8">
        <v>92.09</v>
      </c>
      <c r="P1678" s="11">
        <f>P1677+AVERAGE(N1678-N1677,L1678-L1677,J1678-J1677)</f>
        <v>95.926666666666677</v>
      </c>
    </row>
    <row r="1679" spans="1:18" x14ac:dyDescent="0.35">
      <c r="A1679" s="7">
        <v>45143</v>
      </c>
      <c r="J1679" s="8">
        <v>84.29</v>
      </c>
      <c r="K1679" s="8">
        <v>84.96</v>
      </c>
      <c r="L1679" s="8">
        <v>88.81</v>
      </c>
      <c r="M1679" s="11">
        <f>M1678+AVERAGE(J1679-J1678,N1679-N1678,L1679-L1678)</f>
        <v>89.63666666666667</v>
      </c>
      <c r="N1679" s="8">
        <v>92.09</v>
      </c>
      <c r="P1679" s="11">
        <f>P1678+AVERAGE(N1679-N1678,L1679-L1678,J1679-J1678)</f>
        <v>95.926666666666677</v>
      </c>
    </row>
    <row r="1680" spans="1:18" x14ac:dyDescent="0.35">
      <c r="A1680" s="7">
        <v>45144</v>
      </c>
      <c r="J1680" s="8">
        <v>84.29</v>
      </c>
      <c r="K1680" s="8">
        <v>84.96</v>
      </c>
      <c r="L1680" s="8">
        <v>88.81</v>
      </c>
      <c r="M1680" s="11">
        <f>M1679+AVERAGE(J1680-J1679,N1680-N1679,L1680-L1679)</f>
        <v>89.63666666666667</v>
      </c>
      <c r="N1680" s="8">
        <v>92.09</v>
      </c>
      <c r="P1680" s="11">
        <f>P1679+AVERAGE(N1680-N1679,L1680-L1679,J1680-J1679)</f>
        <v>95.926666666666677</v>
      </c>
      <c r="R1680" s="8">
        <f>K1680-J1680</f>
        <v>0.66999999999998749</v>
      </c>
    </row>
    <row r="1681" spans="1:18" x14ac:dyDescent="0.35">
      <c r="A1681" s="7">
        <v>45145</v>
      </c>
      <c r="J1681" s="8">
        <v>83.16</v>
      </c>
      <c r="K1681" s="8">
        <v>84.21</v>
      </c>
      <c r="L1681" s="8">
        <v>87.48</v>
      </c>
      <c r="M1681" s="8">
        <v>88.57</v>
      </c>
      <c r="N1681" s="8">
        <v>91.29</v>
      </c>
      <c r="P1681" s="8">
        <v>95</v>
      </c>
      <c r="R1681" s="8">
        <f>K1681-J1681</f>
        <v>1.0499999999999972</v>
      </c>
    </row>
    <row r="1682" spans="1:18" x14ac:dyDescent="0.35">
      <c r="A1682" s="7">
        <v>45146</v>
      </c>
      <c r="J1682" s="8">
        <v>83.35</v>
      </c>
      <c r="K1682" s="8">
        <v>84.09</v>
      </c>
      <c r="L1682" s="8">
        <v>87.71</v>
      </c>
      <c r="M1682" s="11">
        <f>M1681+AVERAGE(J1682-J1681,N1682-N1681,L1682-L1681)</f>
        <v>88.726666666666659</v>
      </c>
      <c r="N1682" s="8">
        <v>91.34</v>
      </c>
      <c r="P1682" s="11">
        <f>P1681+AVERAGE(N1682-N1681,L1682-L1681,J1682-J1681)</f>
        <v>95.156666666666666</v>
      </c>
      <c r="R1682" s="8">
        <f>K1682-J1682</f>
        <v>0.74000000000000909</v>
      </c>
    </row>
    <row r="1683" spans="1:18" x14ac:dyDescent="0.35">
      <c r="A1683" s="7">
        <v>45147</v>
      </c>
      <c r="J1683" s="8">
        <v>84.69</v>
      </c>
      <c r="K1683" s="8">
        <v>86.43</v>
      </c>
      <c r="L1683" s="8">
        <v>88.79</v>
      </c>
      <c r="M1683" s="8">
        <v>89.95</v>
      </c>
      <c r="N1683" s="8">
        <v>92.62</v>
      </c>
      <c r="P1683" s="11">
        <f>P1682+AVERAGE(N1683-N1682,L1683-L1682,J1683-J1682)</f>
        <v>96.39</v>
      </c>
      <c r="R1683" s="8">
        <f>K1683-J1683</f>
        <v>1.7400000000000091</v>
      </c>
    </row>
    <row r="1684" spans="1:18" x14ac:dyDescent="0.35">
      <c r="A1684" s="7">
        <v>45148</v>
      </c>
      <c r="J1684" s="8">
        <v>83.98</v>
      </c>
      <c r="K1684" s="8">
        <v>84.42</v>
      </c>
      <c r="L1684" s="8">
        <v>88.1</v>
      </c>
      <c r="M1684" s="8">
        <v>89.31</v>
      </c>
      <c r="N1684" s="8">
        <v>91.84</v>
      </c>
      <c r="P1684" s="8">
        <v>95.95</v>
      </c>
      <c r="R1684" s="8">
        <f>K1684-J1684</f>
        <v>0.43999999999999773</v>
      </c>
    </row>
    <row r="1685" spans="1:18" x14ac:dyDescent="0.35">
      <c r="A1685" s="7">
        <v>45149</v>
      </c>
      <c r="J1685" s="8">
        <v>85.73</v>
      </c>
      <c r="K1685" s="11">
        <f>K1684+AVERAGE(N1685-N1684,L1685-L1684,J1685-J1684)</f>
        <v>86.296666666666667</v>
      </c>
      <c r="L1685" s="8">
        <v>89.6</v>
      </c>
      <c r="M1685" s="11">
        <f t="shared" ref="M1685:M1690" si="3">M1684+AVERAGE(J1685-J1684,N1685-N1684,L1685-L1684)</f>
        <v>91.186666666666667</v>
      </c>
      <c r="N1685" s="8">
        <v>94.22</v>
      </c>
      <c r="P1685" s="11">
        <f>P1684+AVERAGE(N1685-N1684,L1685-L1684,J1685-J1684)</f>
        <v>97.826666666666668</v>
      </c>
    </row>
    <row r="1686" spans="1:18" x14ac:dyDescent="0.35">
      <c r="A1686" s="7">
        <v>45150</v>
      </c>
      <c r="J1686" s="8">
        <v>85.73</v>
      </c>
      <c r="K1686" s="11">
        <f>K1685+AVERAGE(N1686-N1685,L1686-L1685,J1686-J1685)</f>
        <v>86.296666666666667</v>
      </c>
      <c r="L1686" s="8">
        <v>89.6</v>
      </c>
      <c r="M1686" s="11">
        <f t="shared" si="3"/>
        <v>91.186666666666667</v>
      </c>
      <c r="N1686" s="8">
        <v>94.22</v>
      </c>
      <c r="P1686" s="11">
        <f>P1685+AVERAGE(N1686-N1685,L1686-L1685,J1686-J1685)</f>
        <v>97.826666666666668</v>
      </c>
    </row>
    <row r="1687" spans="1:18" x14ac:dyDescent="0.35">
      <c r="A1687" s="7">
        <v>45151</v>
      </c>
      <c r="J1687" s="8">
        <v>85.73</v>
      </c>
      <c r="K1687" s="11">
        <f>K1686+AVERAGE(N1687-N1686,L1687-L1686,J1687-J1686)</f>
        <v>86.296666666666667</v>
      </c>
      <c r="L1687" s="8">
        <v>89.6</v>
      </c>
      <c r="M1687" s="11">
        <f t="shared" si="3"/>
        <v>91.186666666666667</v>
      </c>
      <c r="N1687" s="8">
        <v>94.22</v>
      </c>
      <c r="P1687" s="11">
        <f>P1686+AVERAGE(N1687-N1686,L1687-L1686,J1687-J1686)</f>
        <v>97.826666666666668</v>
      </c>
    </row>
    <row r="1688" spans="1:18" x14ac:dyDescent="0.35">
      <c r="A1688" s="7">
        <v>45152</v>
      </c>
      <c r="J1688" s="8">
        <v>87.35</v>
      </c>
      <c r="K1688" s="11">
        <f>K1687+AVERAGE(N1688-N1687,L1688-L1687,J1688-J1687)</f>
        <v>87.86333333333333</v>
      </c>
      <c r="L1688" s="8">
        <v>91.52</v>
      </c>
      <c r="M1688" s="11">
        <f t="shared" si="3"/>
        <v>92.75333333333333</v>
      </c>
      <c r="N1688" s="8">
        <v>95.38</v>
      </c>
      <c r="P1688" s="8">
        <v>98.98</v>
      </c>
    </row>
    <row r="1689" spans="1:18" x14ac:dyDescent="0.35">
      <c r="A1689" s="7">
        <v>45153</v>
      </c>
      <c r="J1689" s="8">
        <v>87.56</v>
      </c>
      <c r="K1689" s="8">
        <v>89.12</v>
      </c>
      <c r="L1689" s="8">
        <v>91.87</v>
      </c>
      <c r="M1689" s="11">
        <f t="shared" si="3"/>
        <v>93.28</v>
      </c>
      <c r="N1689" s="8">
        <v>96.4</v>
      </c>
      <c r="P1689" s="8">
        <v>99.26</v>
      </c>
    </row>
    <row r="1690" spans="1:18" x14ac:dyDescent="0.35">
      <c r="A1690" s="7">
        <v>45154</v>
      </c>
      <c r="J1690" s="8">
        <v>88.21</v>
      </c>
      <c r="K1690" s="8">
        <v>89.54</v>
      </c>
      <c r="L1690" s="8">
        <v>92.39</v>
      </c>
      <c r="M1690" s="11">
        <f t="shared" si="3"/>
        <v>93.686666666666667</v>
      </c>
      <c r="N1690" s="8">
        <v>96.45</v>
      </c>
      <c r="P1690" s="11">
        <f>P1689+AVERAGE(N1690-N1689,L1690-L1689,J1690-J1689)</f>
        <v>99.666666666666671</v>
      </c>
    </row>
    <row r="1691" spans="1:18" x14ac:dyDescent="0.35">
      <c r="A1691" s="7">
        <v>45155</v>
      </c>
      <c r="J1691" s="8">
        <v>88.92</v>
      </c>
      <c r="K1691" s="8">
        <v>90.64</v>
      </c>
      <c r="L1691" s="8">
        <v>93.21</v>
      </c>
      <c r="M1691" s="8">
        <v>94.14</v>
      </c>
      <c r="N1691" s="8">
        <v>97.05</v>
      </c>
      <c r="P1691" s="8">
        <v>100.83</v>
      </c>
    </row>
    <row r="1692" spans="1:18" x14ac:dyDescent="0.35">
      <c r="A1692" s="7">
        <v>45156</v>
      </c>
      <c r="J1692" s="8">
        <v>88.01</v>
      </c>
      <c r="K1692" s="8">
        <v>89.02</v>
      </c>
      <c r="L1692" s="8">
        <v>92.19</v>
      </c>
      <c r="M1692" s="8">
        <v>93.63</v>
      </c>
      <c r="N1692" s="8">
        <v>96.1</v>
      </c>
      <c r="P1692" s="8">
        <v>99.67</v>
      </c>
    </row>
    <row r="1693" spans="1:18" x14ac:dyDescent="0.35">
      <c r="A1693" s="7">
        <v>45157</v>
      </c>
      <c r="J1693" s="8">
        <v>88.01</v>
      </c>
      <c r="K1693" s="8">
        <v>89.02</v>
      </c>
      <c r="L1693" s="8">
        <v>92.19</v>
      </c>
      <c r="M1693" s="8">
        <v>93.63</v>
      </c>
      <c r="N1693" s="8">
        <v>96.1</v>
      </c>
      <c r="P1693" s="8">
        <v>99.67</v>
      </c>
    </row>
    <row r="1694" spans="1:18" x14ac:dyDescent="0.35">
      <c r="A1694" s="7">
        <v>45158</v>
      </c>
      <c r="J1694" s="8">
        <v>88.01</v>
      </c>
      <c r="K1694" s="8">
        <v>89.02</v>
      </c>
      <c r="L1694" s="8">
        <v>92.19</v>
      </c>
      <c r="M1694" s="8">
        <v>93.63</v>
      </c>
      <c r="N1694" s="8">
        <v>96.1</v>
      </c>
      <c r="P1694" s="8">
        <v>99.67</v>
      </c>
    </row>
    <row r="1695" spans="1:18" x14ac:dyDescent="0.35">
      <c r="A1695" s="7">
        <v>45159</v>
      </c>
      <c r="J1695" s="8">
        <v>87.91</v>
      </c>
      <c r="K1695" s="8">
        <v>89.11</v>
      </c>
      <c r="L1695" s="8">
        <v>92.3</v>
      </c>
      <c r="M1695" s="8">
        <v>93.86</v>
      </c>
      <c r="N1695" s="8">
        <v>96.26</v>
      </c>
      <c r="P1695" s="11">
        <f>P1694+AVERAGE(N1695-N1694,L1695-L1694,J1695-J1694)</f>
        <v>99.726666666666674</v>
      </c>
    </row>
    <row r="1696" spans="1:18" x14ac:dyDescent="0.35">
      <c r="A1696" s="7">
        <v>45160</v>
      </c>
      <c r="J1696" s="8">
        <v>89.62</v>
      </c>
      <c r="K1696" s="8">
        <v>91.36</v>
      </c>
      <c r="L1696" s="8">
        <v>94.24</v>
      </c>
      <c r="M1696" s="11">
        <f>M1695+AVERAGE(J1696-J1695,N1696-N1695,L1696-L1695)</f>
        <v>95.786666666666662</v>
      </c>
      <c r="N1696" s="8">
        <v>98.39</v>
      </c>
      <c r="P1696" s="8">
        <v>102.46</v>
      </c>
    </row>
    <row r="1697" spans="1:16" x14ac:dyDescent="0.35">
      <c r="A1697" s="7">
        <v>45161</v>
      </c>
      <c r="J1697" s="8">
        <v>88.85</v>
      </c>
      <c r="K1697" s="8">
        <v>89.41</v>
      </c>
      <c r="L1697" s="8">
        <v>93.32</v>
      </c>
      <c r="M1697" s="8">
        <v>93.97</v>
      </c>
      <c r="N1697" s="8">
        <v>97.3</v>
      </c>
      <c r="P1697" s="8">
        <v>101.09</v>
      </c>
    </row>
    <row r="1698" spans="1:16" x14ac:dyDescent="0.35">
      <c r="A1698" s="7">
        <v>45162</v>
      </c>
      <c r="J1698" s="8">
        <v>86.29</v>
      </c>
      <c r="K1698" s="8">
        <v>87.19</v>
      </c>
      <c r="L1698" s="8">
        <v>90.57</v>
      </c>
      <c r="M1698" s="8">
        <v>92.17</v>
      </c>
      <c r="N1698" s="8">
        <v>94.31</v>
      </c>
      <c r="P1698" s="8">
        <v>98.81</v>
      </c>
    </row>
    <row r="1699" spans="1:16" x14ac:dyDescent="0.35">
      <c r="A1699" s="7">
        <v>45163</v>
      </c>
      <c r="J1699" s="8">
        <v>85.61</v>
      </c>
      <c r="K1699" s="8">
        <v>87.03</v>
      </c>
      <c r="L1699" s="8">
        <v>90.02</v>
      </c>
      <c r="M1699" s="8">
        <v>91.09</v>
      </c>
      <c r="N1699" s="8">
        <v>94.09</v>
      </c>
      <c r="P1699" s="8">
        <v>97.9</v>
      </c>
    </row>
    <row r="1700" spans="1:16" x14ac:dyDescent="0.35">
      <c r="A1700" s="7">
        <v>45164</v>
      </c>
      <c r="J1700" s="8">
        <v>85.61</v>
      </c>
      <c r="K1700" s="8">
        <v>87.03</v>
      </c>
      <c r="L1700" s="8">
        <v>90.02</v>
      </c>
      <c r="M1700" s="8">
        <v>91.09</v>
      </c>
      <c r="N1700" s="8">
        <v>94.09</v>
      </c>
      <c r="P1700" s="8">
        <v>97.9</v>
      </c>
    </row>
    <row r="1701" spans="1:16" x14ac:dyDescent="0.35">
      <c r="A1701" s="7">
        <v>45165</v>
      </c>
      <c r="J1701" s="8">
        <v>85.61</v>
      </c>
      <c r="K1701" s="8">
        <v>87.03</v>
      </c>
      <c r="L1701" s="8">
        <v>90.02</v>
      </c>
      <c r="M1701" s="8">
        <v>91.09</v>
      </c>
      <c r="N1701" s="8">
        <v>94.09</v>
      </c>
      <c r="P1701" s="8">
        <v>97.9</v>
      </c>
    </row>
    <row r="1702" spans="1:16" x14ac:dyDescent="0.35">
      <c r="A1702" s="7">
        <v>45166</v>
      </c>
      <c r="J1702" s="8">
        <v>85.76</v>
      </c>
      <c r="K1702" s="8">
        <v>87.09</v>
      </c>
      <c r="L1702" s="8">
        <v>90.03</v>
      </c>
      <c r="M1702" s="11">
        <f>M1701+AVERAGE(J1702-J1701,N1702-N1701,L1702-L1701)</f>
        <v>91.161111111111126</v>
      </c>
      <c r="N1702" s="11">
        <f>N1701+AVERAGE(L1702-L1701,J1702-J1701,H1702-H1701)</f>
        <v>94.143333333333345</v>
      </c>
      <c r="P1702" s="11">
        <f>P1701+AVERAGE(N1702-N1701,L1702-L1701,J1702-J1701)</f>
        <v>97.971111111111128</v>
      </c>
    </row>
    <row r="1703" spans="1:16" x14ac:dyDescent="0.35">
      <c r="A1703" s="7">
        <v>45167</v>
      </c>
      <c r="J1703" s="8">
        <v>85.54</v>
      </c>
      <c r="K1703" s="8">
        <v>86.16</v>
      </c>
      <c r="L1703" s="8">
        <v>89.95</v>
      </c>
      <c r="M1703" s="11">
        <f>M1702+AVERAGE(J1703-J1702,N1703-N1702,L1703-L1702)</f>
        <v>90.973333333333343</v>
      </c>
      <c r="N1703" s="8">
        <v>93.88</v>
      </c>
      <c r="P1703" s="8">
        <v>97.43</v>
      </c>
    </row>
    <row r="1704" spans="1:16" x14ac:dyDescent="0.35">
      <c r="A1704" s="7">
        <v>45168</v>
      </c>
      <c r="J1704" s="8">
        <v>85.89</v>
      </c>
      <c r="K1704" s="8">
        <v>86.99</v>
      </c>
      <c r="L1704" s="8">
        <v>90.24</v>
      </c>
      <c r="M1704" s="11">
        <f>M1703+AVERAGE(J1704-J1703,N1704-N1703,L1704-L1703)</f>
        <v>91.29</v>
      </c>
      <c r="N1704" s="8">
        <v>94.19</v>
      </c>
      <c r="P1704" s="8">
        <v>98.43</v>
      </c>
    </row>
    <row r="1705" spans="1:16" x14ac:dyDescent="0.35">
      <c r="A1705" s="7">
        <v>45169</v>
      </c>
      <c r="J1705" s="8">
        <v>86.38</v>
      </c>
      <c r="K1705" s="8">
        <v>87.64</v>
      </c>
      <c r="L1705" s="8">
        <v>90.65</v>
      </c>
      <c r="M1705" s="8">
        <v>91.5</v>
      </c>
      <c r="N1705" s="8">
        <v>94.97</v>
      </c>
      <c r="P1705" s="8">
        <v>98.83</v>
      </c>
    </row>
    <row r="1706" spans="1:16" x14ac:dyDescent="0.35">
      <c r="A1706" s="7">
        <v>45170</v>
      </c>
      <c r="J1706" s="8">
        <v>85.47</v>
      </c>
      <c r="K1706" s="8">
        <v>86.61</v>
      </c>
      <c r="L1706" s="8">
        <v>89.72</v>
      </c>
      <c r="M1706" s="8">
        <f t="shared" ref="M1706:M1720" si="4">M1705+AVERAGE(J1706-J1705,N1706-N1705,L1706-L1705)</f>
        <v>90.46</v>
      </c>
      <c r="N1706" s="8">
        <v>93.69</v>
      </c>
      <c r="P1706" s="8">
        <v>97.58</v>
      </c>
    </row>
    <row r="1707" spans="1:16" x14ac:dyDescent="0.35">
      <c r="A1707" s="7">
        <v>45171</v>
      </c>
      <c r="J1707" s="8">
        <v>85.47</v>
      </c>
      <c r="K1707" s="8">
        <v>86.61</v>
      </c>
      <c r="L1707" s="8">
        <v>89.72</v>
      </c>
      <c r="M1707" s="8">
        <f t="shared" si="4"/>
        <v>90.46</v>
      </c>
      <c r="N1707" s="8">
        <v>93.69</v>
      </c>
      <c r="P1707" s="8">
        <v>97.58</v>
      </c>
    </row>
    <row r="1708" spans="1:16" x14ac:dyDescent="0.35">
      <c r="A1708" s="7">
        <v>45172</v>
      </c>
      <c r="J1708" s="8">
        <v>85.47</v>
      </c>
      <c r="K1708" s="8">
        <v>86.61</v>
      </c>
      <c r="L1708" s="8">
        <v>89.72</v>
      </c>
      <c r="M1708" s="8">
        <f t="shared" si="4"/>
        <v>90.46</v>
      </c>
      <c r="N1708" s="8">
        <v>93.69</v>
      </c>
      <c r="P1708" s="8">
        <v>97.58</v>
      </c>
    </row>
    <row r="1709" spans="1:16" x14ac:dyDescent="0.35">
      <c r="A1709" s="7">
        <v>45173</v>
      </c>
      <c r="J1709" s="8">
        <v>84.39</v>
      </c>
      <c r="K1709" s="8">
        <v>85.1</v>
      </c>
      <c r="L1709" s="8">
        <v>88.37</v>
      </c>
      <c r="M1709" s="11">
        <f t="shared" si="4"/>
        <v>89.38</v>
      </c>
      <c r="N1709" s="11">
        <f>N1708+AVERAGE(L1709-L1708,J1709-J1708,H1709-H1708)</f>
        <v>92.88</v>
      </c>
      <c r="P1709" s="11">
        <f>P1708+AVERAGE(N1709-N1708,L1709-L1708,J1709-J1708)</f>
        <v>96.5</v>
      </c>
    </row>
    <row r="1710" spans="1:16" x14ac:dyDescent="0.35">
      <c r="A1710" s="7">
        <v>45174</v>
      </c>
      <c r="J1710" s="8">
        <v>84.07</v>
      </c>
      <c r="K1710" s="11">
        <f>K1709+AVERAGE(N1710-N1709,L1710-L1709,J1710-J1709)</f>
        <v>84.669999999999987</v>
      </c>
      <c r="L1710" s="8">
        <v>88.18</v>
      </c>
      <c r="M1710" s="11">
        <f t="shared" si="4"/>
        <v>88.949999999999989</v>
      </c>
      <c r="N1710" s="8">
        <v>92.1</v>
      </c>
      <c r="P1710" s="8">
        <v>96.05</v>
      </c>
    </row>
    <row r="1711" spans="1:16" x14ac:dyDescent="0.35">
      <c r="A1711" s="7">
        <v>45175</v>
      </c>
      <c r="J1711" s="8">
        <v>83.96</v>
      </c>
      <c r="K1711" s="8">
        <v>85.43</v>
      </c>
      <c r="L1711" s="8">
        <v>88.15</v>
      </c>
      <c r="M1711" s="11">
        <f t="shared" si="4"/>
        <v>88.956666666666663</v>
      </c>
      <c r="N1711" s="8">
        <v>92.26</v>
      </c>
      <c r="P1711" s="11">
        <f>P1710+AVERAGE(N1711-N1710,L1711-L1710,J1711-J1710)</f>
        <v>96.056666666666672</v>
      </c>
    </row>
    <row r="1712" spans="1:16" x14ac:dyDescent="0.35">
      <c r="A1712" s="7">
        <v>45176</v>
      </c>
      <c r="J1712" s="8">
        <v>83.35</v>
      </c>
      <c r="K1712" s="8">
        <v>84.6</v>
      </c>
      <c r="L1712" s="8">
        <v>87.59</v>
      </c>
      <c r="M1712" s="11">
        <f t="shared" si="4"/>
        <v>88.233333333333334</v>
      </c>
      <c r="N1712" s="8">
        <v>91.26</v>
      </c>
      <c r="P1712" s="8">
        <v>94.61</v>
      </c>
    </row>
    <row r="1713" spans="1:16" x14ac:dyDescent="0.35">
      <c r="A1713" s="7">
        <v>45177</v>
      </c>
      <c r="J1713" s="8">
        <v>82.71</v>
      </c>
      <c r="K1713" s="8">
        <v>83.5</v>
      </c>
      <c r="L1713" s="8">
        <v>86.94</v>
      </c>
      <c r="M1713" s="11">
        <f t="shared" si="4"/>
        <v>87.703333333333333</v>
      </c>
      <c r="N1713" s="8">
        <v>90.96</v>
      </c>
      <c r="P1713" s="11">
        <f>P1712+AVERAGE(N1713-N1712,L1713-L1712,J1713-J1712)</f>
        <v>94.08</v>
      </c>
    </row>
    <row r="1714" spans="1:16" x14ac:dyDescent="0.35">
      <c r="A1714" s="7">
        <v>45178</v>
      </c>
      <c r="J1714" s="8">
        <v>82.71</v>
      </c>
      <c r="K1714" s="8">
        <v>83.5</v>
      </c>
      <c r="L1714" s="8">
        <v>86.94</v>
      </c>
      <c r="M1714" s="11">
        <f t="shared" si="4"/>
        <v>87.703333333333333</v>
      </c>
      <c r="N1714" s="8">
        <v>90.96</v>
      </c>
      <c r="P1714" s="11">
        <f>P1713+AVERAGE(N1714-N1713,L1714-L1713,J1714-J1713)</f>
        <v>94.08</v>
      </c>
    </row>
    <row r="1715" spans="1:16" x14ac:dyDescent="0.35">
      <c r="A1715" s="7">
        <v>45179</v>
      </c>
      <c r="J1715" s="8">
        <v>82.71</v>
      </c>
      <c r="K1715" s="8">
        <v>83.5</v>
      </c>
      <c r="L1715" s="8">
        <v>86.94</v>
      </c>
      <c r="M1715" s="11">
        <f t="shared" si="4"/>
        <v>87.703333333333333</v>
      </c>
      <c r="N1715" s="8">
        <v>90.96</v>
      </c>
      <c r="P1715" s="11">
        <f>P1714+AVERAGE(N1715-N1714,L1715-L1714,J1715-J1714)</f>
        <v>94.08</v>
      </c>
    </row>
    <row r="1716" spans="1:16" x14ac:dyDescent="0.35">
      <c r="A1716" s="7">
        <v>45180</v>
      </c>
      <c r="J1716" s="8">
        <v>81.92</v>
      </c>
      <c r="K1716" s="8">
        <v>83.12</v>
      </c>
      <c r="L1716" s="8">
        <v>85.99</v>
      </c>
      <c r="M1716" s="11">
        <f t="shared" si="4"/>
        <v>86.743333333333339</v>
      </c>
      <c r="N1716" s="8">
        <v>89.82</v>
      </c>
      <c r="P1716" s="11">
        <f>P1715+AVERAGE(N1716-N1715,L1716-L1715,J1716-J1715)</f>
        <v>93.12</v>
      </c>
    </row>
    <row r="1717" spans="1:16" x14ac:dyDescent="0.35">
      <c r="A1717" s="7">
        <v>45181</v>
      </c>
      <c r="J1717" s="8">
        <v>81.45</v>
      </c>
      <c r="K1717" s="8">
        <v>82.67</v>
      </c>
      <c r="L1717" s="8">
        <v>85.62</v>
      </c>
      <c r="M1717" s="11">
        <f t="shared" si="4"/>
        <v>86.293333333333351</v>
      </c>
      <c r="N1717" s="8">
        <v>89.31</v>
      </c>
      <c r="P1717" s="8">
        <v>93.73</v>
      </c>
    </row>
    <row r="1718" spans="1:16" x14ac:dyDescent="0.35">
      <c r="A1718" s="7">
        <v>45182</v>
      </c>
      <c r="J1718" s="8">
        <v>82.13</v>
      </c>
      <c r="K1718" s="8">
        <v>82.94</v>
      </c>
      <c r="L1718" s="8">
        <v>86.41</v>
      </c>
      <c r="M1718" s="11">
        <f t="shared" si="4"/>
        <v>87.170000000000016</v>
      </c>
      <c r="N1718" s="8">
        <v>90.47</v>
      </c>
      <c r="P1718" s="8">
        <v>94.5</v>
      </c>
    </row>
    <row r="1719" spans="1:16" x14ac:dyDescent="0.35">
      <c r="A1719" s="7">
        <v>45183</v>
      </c>
      <c r="J1719" s="8">
        <v>83.07</v>
      </c>
      <c r="K1719" s="8">
        <v>83.9</v>
      </c>
      <c r="L1719" s="8">
        <v>87.27</v>
      </c>
      <c r="M1719" s="11">
        <f t="shared" si="4"/>
        <v>87.970000000000013</v>
      </c>
      <c r="N1719" s="8">
        <v>91.07</v>
      </c>
      <c r="P1719" s="8">
        <v>94.69</v>
      </c>
    </row>
    <row r="1720" spans="1:16" x14ac:dyDescent="0.35">
      <c r="A1720" s="7">
        <v>45184</v>
      </c>
      <c r="J1720" s="8">
        <v>83.03</v>
      </c>
      <c r="K1720" s="8">
        <v>84.17</v>
      </c>
      <c r="L1720" s="8">
        <v>87.09</v>
      </c>
      <c r="M1720" s="11">
        <f t="shared" si="4"/>
        <v>87.956666666666692</v>
      </c>
      <c r="N1720" s="8">
        <v>91.25</v>
      </c>
      <c r="P1720" s="8">
        <v>94.71</v>
      </c>
    </row>
    <row r="1721" spans="1:16" x14ac:dyDescent="0.35">
      <c r="A1721" s="7">
        <v>45185</v>
      </c>
      <c r="J1721" s="8">
        <v>83.03</v>
      </c>
      <c r="K1721" s="8">
        <v>84.17</v>
      </c>
      <c r="L1721" s="8">
        <v>87.09</v>
      </c>
      <c r="M1721" s="11">
        <f>M1720+AVERAGE(J1721-J1720,N1721-N1720,L1721-L1720)</f>
        <v>87.956666666666692</v>
      </c>
      <c r="N1721" s="8">
        <v>91.25</v>
      </c>
      <c r="P1721" s="8">
        <v>94.71</v>
      </c>
    </row>
    <row r="1722" spans="1:16" x14ac:dyDescent="0.35">
      <c r="A1722" s="7">
        <v>45186</v>
      </c>
      <c r="J1722" s="8">
        <v>83.03</v>
      </c>
      <c r="K1722" s="8">
        <v>84.17</v>
      </c>
      <c r="L1722" s="8">
        <v>87.09</v>
      </c>
      <c r="M1722" s="11">
        <f>M1721+AVERAGE(J1722-J1721,N1722-N1721,L1722-L1721)</f>
        <v>87.956666666666692</v>
      </c>
      <c r="N1722" s="8">
        <v>91.25</v>
      </c>
      <c r="P1722" s="8">
        <v>94.71</v>
      </c>
    </row>
    <row r="1723" spans="1:16" x14ac:dyDescent="0.35">
      <c r="A1723" s="7">
        <v>45187</v>
      </c>
      <c r="J1723" s="8">
        <v>81.31</v>
      </c>
      <c r="K1723" s="8">
        <v>82.36</v>
      </c>
      <c r="L1723" s="8">
        <v>85.46</v>
      </c>
      <c r="M1723" s="11">
        <f>M1722+AVERAGE(J1723-J1722,N1723-N1722,L1723-L1722)</f>
        <v>86.256666666666689</v>
      </c>
      <c r="N1723" s="8">
        <v>89.5</v>
      </c>
      <c r="P1723" s="8">
        <v>93.27</v>
      </c>
    </row>
    <row r="1724" spans="1:16" x14ac:dyDescent="0.35">
      <c r="A1724" s="7">
        <v>45188</v>
      </c>
      <c r="J1724" s="8">
        <v>80.959999999999994</v>
      </c>
      <c r="K1724" s="8">
        <v>82.02</v>
      </c>
      <c r="L1724" s="8">
        <v>85.01</v>
      </c>
      <c r="M1724" s="8">
        <v>86.17</v>
      </c>
      <c r="N1724" s="8">
        <v>88.97</v>
      </c>
      <c r="P1724" s="11">
        <f>P1723+AVERAGE(N1724-N1723,L1724-L1723,J1724-J1723)</f>
        <v>92.826666666666668</v>
      </c>
    </row>
    <row r="1725" spans="1:16" x14ac:dyDescent="0.35">
      <c r="A1725" s="7">
        <v>45189</v>
      </c>
      <c r="J1725" s="8">
        <v>81.569999999999993</v>
      </c>
      <c r="K1725" s="8">
        <v>82.72</v>
      </c>
      <c r="L1725" s="8">
        <v>85.8</v>
      </c>
      <c r="M1725" s="8">
        <v>86.2</v>
      </c>
      <c r="N1725" s="8">
        <v>89.48</v>
      </c>
      <c r="P1725" s="11">
        <f>P1724+AVERAGE(N1725-N1724,L1725-L1724,J1725-J1724)</f>
        <v>93.463333333333338</v>
      </c>
    </row>
    <row r="1726" spans="1:16" x14ac:dyDescent="0.35">
      <c r="A1726" s="7">
        <v>45190</v>
      </c>
      <c r="J1726" s="8">
        <v>83.3</v>
      </c>
      <c r="K1726" s="8">
        <v>84.32</v>
      </c>
      <c r="L1726" s="8">
        <v>87.25</v>
      </c>
      <c r="M1726" s="11">
        <f>M1725+AVERAGE(J1726-J1725,N1726-N1725,L1726-L1725)</f>
        <v>87.566666666666677</v>
      </c>
      <c r="N1726" s="8">
        <v>90.4</v>
      </c>
      <c r="P1726" s="11">
        <f>P1725+AVERAGE(N1726-N1725,L1726-L1725,J1726-J1725)</f>
        <v>94.830000000000013</v>
      </c>
    </row>
    <row r="1727" spans="1:16" x14ac:dyDescent="0.35">
      <c r="A1727" s="7">
        <v>45191</v>
      </c>
      <c r="J1727" s="8">
        <v>85.13</v>
      </c>
      <c r="K1727" s="8">
        <v>86.59</v>
      </c>
      <c r="L1727" s="8">
        <v>89.14</v>
      </c>
      <c r="M1727" s="8">
        <v>90.12</v>
      </c>
      <c r="N1727" s="8">
        <v>93.36</v>
      </c>
      <c r="P1727" s="8">
        <v>97.28</v>
      </c>
    </row>
    <row r="1728" spans="1:16" x14ac:dyDescent="0.35">
      <c r="A1728" s="7">
        <v>45192</v>
      </c>
      <c r="J1728" s="8">
        <v>85.13</v>
      </c>
      <c r="K1728" s="8">
        <v>86.59</v>
      </c>
      <c r="L1728" s="8">
        <v>89.14</v>
      </c>
      <c r="M1728" s="8">
        <v>90.12</v>
      </c>
      <c r="N1728" s="8">
        <v>93.36</v>
      </c>
      <c r="P1728" s="8">
        <v>97.28</v>
      </c>
    </row>
    <row r="1729" spans="1:16" x14ac:dyDescent="0.35">
      <c r="A1729" s="7">
        <v>45193</v>
      </c>
      <c r="J1729" s="8">
        <v>85.13</v>
      </c>
      <c r="K1729" s="8">
        <v>86.59</v>
      </c>
      <c r="L1729" s="8">
        <v>89.14</v>
      </c>
      <c r="M1729" s="8">
        <v>90.12</v>
      </c>
      <c r="N1729" s="8">
        <v>93.36</v>
      </c>
      <c r="P1729" s="8">
        <v>97.28</v>
      </c>
    </row>
    <row r="1730" spans="1:16" x14ac:dyDescent="0.35">
      <c r="A1730" s="7">
        <v>45194</v>
      </c>
      <c r="J1730" s="8">
        <v>85.26</v>
      </c>
      <c r="K1730" s="8">
        <v>86.13</v>
      </c>
      <c r="L1730" s="8">
        <v>89.56</v>
      </c>
      <c r="M1730" s="8">
        <v>90.83</v>
      </c>
      <c r="N1730" s="8">
        <v>93.36</v>
      </c>
      <c r="P1730" s="11">
        <f>P1729+AVERAGE(N1730-N1729,L1730-L1729,J1730-J1729)</f>
        <v>97.463333333333338</v>
      </c>
    </row>
    <row r="1731" spans="1:16" x14ac:dyDescent="0.35">
      <c r="A1731" s="7">
        <v>45195</v>
      </c>
      <c r="J1731" s="8">
        <v>83.46</v>
      </c>
      <c r="K1731" s="8">
        <v>84.42</v>
      </c>
      <c r="L1731" s="8">
        <v>87.67</v>
      </c>
      <c r="M1731" s="8">
        <v>88.71</v>
      </c>
      <c r="N1731" s="8">
        <v>91.65</v>
      </c>
      <c r="P1731" s="8">
        <v>95.55</v>
      </c>
    </row>
    <row r="1732" spans="1:16" x14ac:dyDescent="0.35">
      <c r="A1732" s="7">
        <v>45196</v>
      </c>
      <c r="J1732" s="8">
        <v>82.25</v>
      </c>
      <c r="K1732" s="8">
        <v>83.28</v>
      </c>
      <c r="L1732" s="8">
        <v>86.32</v>
      </c>
      <c r="M1732" s="11">
        <f t="shared" ref="M1732:M1746" si="5">M1731+AVERAGE(J1732-J1731,N1732-N1731,L1732-L1731)</f>
        <v>87.36333333333333</v>
      </c>
      <c r="N1732" s="8">
        <v>90.17</v>
      </c>
      <c r="P1732" s="8">
        <v>94.15</v>
      </c>
    </row>
    <row r="1733" spans="1:16" x14ac:dyDescent="0.35">
      <c r="A1733" s="7">
        <v>45197</v>
      </c>
      <c r="J1733" s="8">
        <v>82.63</v>
      </c>
      <c r="K1733" s="8">
        <v>83.77</v>
      </c>
      <c r="L1733" s="8">
        <v>86.76</v>
      </c>
      <c r="M1733" s="11">
        <f t="shared" si="5"/>
        <v>87.853333333333325</v>
      </c>
      <c r="N1733" s="8">
        <v>90.82</v>
      </c>
      <c r="P1733" s="8">
        <v>94.8</v>
      </c>
    </row>
    <row r="1734" spans="1:16" x14ac:dyDescent="0.35">
      <c r="A1734" s="7">
        <v>45198</v>
      </c>
      <c r="J1734" s="8">
        <v>82.1</v>
      </c>
      <c r="K1734" s="8">
        <v>82.94</v>
      </c>
      <c r="L1734" s="8">
        <v>86.25</v>
      </c>
      <c r="M1734" s="11">
        <f t="shared" si="5"/>
        <v>87.149999999999991</v>
      </c>
      <c r="N1734" s="8">
        <v>89.75</v>
      </c>
      <c r="P1734" s="8">
        <v>93.74</v>
      </c>
    </row>
    <row r="1735" spans="1:16" x14ac:dyDescent="0.35">
      <c r="A1735" s="7">
        <v>45199</v>
      </c>
      <c r="J1735" s="8">
        <v>82.1</v>
      </c>
      <c r="K1735" s="8">
        <v>82.94</v>
      </c>
      <c r="L1735" s="8">
        <v>86.25</v>
      </c>
      <c r="M1735" s="11">
        <f t="shared" si="5"/>
        <v>87.149999999999991</v>
      </c>
      <c r="N1735" s="8">
        <v>89.75</v>
      </c>
      <c r="P1735" s="8">
        <v>93.74</v>
      </c>
    </row>
    <row r="1736" spans="1:16" x14ac:dyDescent="0.35">
      <c r="A1736" s="7">
        <v>45200</v>
      </c>
      <c r="J1736" s="8">
        <v>82.1</v>
      </c>
      <c r="K1736" s="8">
        <v>82.94</v>
      </c>
      <c r="L1736" s="8">
        <v>86.25</v>
      </c>
      <c r="M1736" s="11">
        <f t="shared" si="5"/>
        <v>87.149999999999991</v>
      </c>
      <c r="N1736" s="8">
        <v>89.75</v>
      </c>
      <c r="P1736" s="8">
        <v>93.74</v>
      </c>
    </row>
    <row r="1737" spans="1:16" x14ac:dyDescent="0.35">
      <c r="A1737" s="7">
        <v>45201</v>
      </c>
      <c r="J1737" s="8">
        <v>81.06</v>
      </c>
      <c r="K1737" s="8">
        <v>81.92</v>
      </c>
      <c r="L1737" s="8">
        <v>85.2</v>
      </c>
      <c r="M1737" s="11">
        <f t="shared" si="5"/>
        <v>86.203333333333333</v>
      </c>
      <c r="N1737" s="8">
        <v>89</v>
      </c>
      <c r="P1737" s="8">
        <v>92.78</v>
      </c>
    </row>
    <row r="1738" spans="1:16" x14ac:dyDescent="0.35">
      <c r="A1738" s="7">
        <v>45202</v>
      </c>
      <c r="J1738" s="8">
        <v>80.05</v>
      </c>
      <c r="K1738" s="8">
        <v>81.11</v>
      </c>
      <c r="L1738" s="8">
        <v>84.06</v>
      </c>
      <c r="M1738" s="11">
        <f t="shared" si="5"/>
        <v>85.03</v>
      </c>
      <c r="N1738" s="8">
        <v>87.63</v>
      </c>
      <c r="P1738" s="8">
        <v>91.24</v>
      </c>
    </row>
    <row r="1739" spans="1:16" x14ac:dyDescent="0.35">
      <c r="A1739" s="7">
        <v>45203</v>
      </c>
      <c r="J1739" s="8">
        <v>81.05</v>
      </c>
      <c r="K1739" s="8">
        <v>81.319999999999993</v>
      </c>
      <c r="L1739" s="8">
        <v>85.24</v>
      </c>
      <c r="M1739" s="11">
        <f t="shared" si="5"/>
        <v>86.19</v>
      </c>
      <c r="N1739" s="8">
        <v>88.93</v>
      </c>
      <c r="P1739" s="8">
        <v>92.36</v>
      </c>
    </row>
    <row r="1740" spans="1:16" x14ac:dyDescent="0.35">
      <c r="A1740" s="7">
        <v>45204</v>
      </c>
      <c r="J1740" s="8">
        <v>81.040000000000006</v>
      </c>
      <c r="K1740" s="8">
        <v>81.73</v>
      </c>
      <c r="L1740" s="8">
        <v>85.07</v>
      </c>
      <c r="M1740" s="11">
        <f t="shared" si="5"/>
        <v>86.076666666666668</v>
      </c>
      <c r="N1740" s="8">
        <v>88.77</v>
      </c>
      <c r="P1740" s="8">
        <v>93.03</v>
      </c>
    </row>
    <row r="1741" spans="1:16" x14ac:dyDescent="0.35">
      <c r="A1741" s="7">
        <v>45205</v>
      </c>
      <c r="J1741" s="8">
        <v>80.540000000000006</v>
      </c>
      <c r="K1741" s="8">
        <v>81.55</v>
      </c>
      <c r="L1741" s="8">
        <v>84.63</v>
      </c>
      <c r="M1741" s="11">
        <f t="shared" si="5"/>
        <v>85.58</v>
      </c>
      <c r="N1741" s="8">
        <v>88.22</v>
      </c>
      <c r="P1741" s="8">
        <v>92.46</v>
      </c>
    </row>
    <row r="1742" spans="1:16" x14ac:dyDescent="0.35">
      <c r="A1742" s="7">
        <v>45206</v>
      </c>
      <c r="J1742" s="8">
        <v>80.540000000000006</v>
      </c>
      <c r="K1742" s="8">
        <v>81.55</v>
      </c>
      <c r="L1742" s="8">
        <v>84.63</v>
      </c>
      <c r="M1742" s="11">
        <f t="shared" si="5"/>
        <v>85.58</v>
      </c>
      <c r="N1742" s="8">
        <v>88.22</v>
      </c>
      <c r="P1742" s="8">
        <v>92.46</v>
      </c>
    </row>
    <row r="1743" spans="1:16" x14ac:dyDescent="0.35">
      <c r="A1743" s="7">
        <v>45207</v>
      </c>
      <c r="J1743" s="8">
        <v>80.540000000000006</v>
      </c>
      <c r="K1743" s="8">
        <v>81.55</v>
      </c>
      <c r="L1743" s="8">
        <v>84.63</v>
      </c>
      <c r="M1743" s="11">
        <f t="shared" si="5"/>
        <v>85.58</v>
      </c>
      <c r="N1743" s="8">
        <v>88.22</v>
      </c>
      <c r="P1743" s="8">
        <v>92.46</v>
      </c>
    </row>
    <row r="1744" spans="1:16" x14ac:dyDescent="0.35">
      <c r="A1744" s="7">
        <v>45208</v>
      </c>
      <c r="J1744" s="8">
        <v>81.209999999999994</v>
      </c>
      <c r="K1744" s="8">
        <v>82.2</v>
      </c>
      <c r="L1744" s="8">
        <v>85.25</v>
      </c>
      <c r="M1744" s="11">
        <f t="shared" si="5"/>
        <v>86.293333333333322</v>
      </c>
      <c r="N1744" s="8">
        <v>89.07</v>
      </c>
      <c r="P1744" s="11">
        <f>P1743+AVERAGE(N1744-N1743,L1744-L1743,J1744-J1743)</f>
        <v>93.173333333333318</v>
      </c>
    </row>
    <row r="1745" spans="1:16" x14ac:dyDescent="0.35">
      <c r="A1745" s="7">
        <v>45209</v>
      </c>
      <c r="J1745" s="8">
        <v>83.97</v>
      </c>
      <c r="K1745" s="8">
        <v>84.31</v>
      </c>
      <c r="L1745" s="8">
        <v>88.11</v>
      </c>
      <c r="M1745" s="11">
        <f t="shared" si="5"/>
        <v>89.216666666666654</v>
      </c>
      <c r="N1745" s="8">
        <v>92.22</v>
      </c>
      <c r="P1745" s="8">
        <v>96.19</v>
      </c>
    </row>
    <row r="1746" spans="1:16" x14ac:dyDescent="0.35">
      <c r="A1746" s="7">
        <v>45210</v>
      </c>
      <c r="J1746" s="8">
        <v>84.33</v>
      </c>
      <c r="K1746" s="8">
        <v>85.27</v>
      </c>
      <c r="L1746" s="8">
        <v>88.37</v>
      </c>
      <c r="M1746" s="11">
        <f t="shared" si="5"/>
        <v>89.393333333333317</v>
      </c>
      <c r="N1746" s="8">
        <v>92.13</v>
      </c>
      <c r="P1746" s="8">
        <v>95.49</v>
      </c>
    </row>
    <row r="1747" spans="1:16" x14ac:dyDescent="0.35">
      <c r="A1747" s="7">
        <v>45211</v>
      </c>
      <c r="J1747" s="8">
        <v>84.89</v>
      </c>
      <c r="K1747" s="8">
        <v>85.9</v>
      </c>
      <c r="L1747" s="8">
        <v>89.02</v>
      </c>
      <c r="M1747" s="8">
        <v>90.5</v>
      </c>
      <c r="N1747" s="8">
        <v>92.97</v>
      </c>
      <c r="P1747" s="8">
        <v>96.87</v>
      </c>
    </row>
    <row r="1748" spans="1:16" x14ac:dyDescent="0.35">
      <c r="A1748" s="7">
        <v>45212</v>
      </c>
      <c r="J1748" s="8">
        <v>85.68</v>
      </c>
      <c r="K1748" s="8">
        <v>86.95</v>
      </c>
      <c r="L1748" s="8">
        <v>89.81</v>
      </c>
      <c r="M1748" s="8">
        <v>90.8</v>
      </c>
      <c r="N1748" s="8">
        <v>93.54</v>
      </c>
      <c r="P1748" s="8">
        <v>97.55</v>
      </c>
    </row>
    <row r="1749" spans="1:16" x14ac:dyDescent="0.35">
      <c r="A1749" s="7">
        <v>45213</v>
      </c>
      <c r="J1749" s="8">
        <v>85.68</v>
      </c>
      <c r="K1749" s="8">
        <v>86.95</v>
      </c>
      <c r="L1749" s="8">
        <v>89.81</v>
      </c>
      <c r="M1749" s="8">
        <v>90.8</v>
      </c>
      <c r="N1749" s="8">
        <v>93.54</v>
      </c>
      <c r="P1749" s="8">
        <v>97.55</v>
      </c>
    </row>
    <row r="1750" spans="1:16" x14ac:dyDescent="0.35">
      <c r="A1750" s="7">
        <v>45214</v>
      </c>
      <c r="J1750" s="8">
        <v>85.68</v>
      </c>
      <c r="K1750" s="8">
        <v>86.95</v>
      </c>
      <c r="L1750" s="8">
        <v>89.81</v>
      </c>
      <c r="M1750" s="8">
        <v>90.8</v>
      </c>
      <c r="N1750" s="8">
        <v>93.54</v>
      </c>
      <c r="P1750" s="8">
        <v>97.55</v>
      </c>
    </row>
    <row r="1751" spans="1:16" x14ac:dyDescent="0.35">
      <c r="A1751" s="7">
        <v>45215</v>
      </c>
      <c r="J1751" s="8">
        <v>84.06</v>
      </c>
      <c r="K1751" s="8">
        <v>85.27</v>
      </c>
      <c r="L1751" s="8">
        <v>88.11</v>
      </c>
      <c r="M1751" s="11">
        <f>M1750+AVERAGE(J1751-J1750,N1751-N1750,L1751-L1750)</f>
        <v>89.22999999999999</v>
      </c>
      <c r="N1751" s="8">
        <v>92.15</v>
      </c>
      <c r="P1751" s="11">
        <f>P1750+AVERAGE(N1751-N1750,L1751-L1750,J1751-J1750)</f>
        <v>95.97999999999999</v>
      </c>
    </row>
    <row r="1752" spans="1:16" x14ac:dyDescent="0.35">
      <c r="A1752" s="7">
        <v>45216</v>
      </c>
      <c r="J1752" s="8">
        <v>82.38</v>
      </c>
      <c r="K1752" s="8">
        <v>83.64</v>
      </c>
      <c r="L1752" s="8">
        <v>86.49</v>
      </c>
      <c r="M1752" s="11">
        <f>M1751+AVERAGE(J1752-J1751,N1752-N1751,L1752-L1751)</f>
        <v>87.426666666666648</v>
      </c>
      <c r="N1752" s="8">
        <v>90.04</v>
      </c>
      <c r="P1752" s="11">
        <f>P1751+AVERAGE(N1752-N1751,L1752-L1751,J1752-J1751)</f>
        <v>94.176666666666648</v>
      </c>
    </row>
    <row r="1753" spans="1:16" x14ac:dyDescent="0.35">
      <c r="A1753" s="7">
        <v>45217</v>
      </c>
      <c r="J1753" s="8">
        <v>82.32</v>
      </c>
      <c r="K1753" s="8">
        <v>83.7</v>
      </c>
      <c r="L1753" s="8">
        <v>86.49</v>
      </c>
      <c r="M1753" s="11">
        <f>M1752+AVERAGE(J1753-J1752,N1753-N1752,L1753-L1752)</f>
        <v>87.436666666666639</v>
      </c>
      <c r="N1753" s="8">
        <v>90.13</v>
      </c>
      <c r="P1753" s="11">
        <f>P1752+AVERAGE(N1753-N1752,L1753-L1752,J1753-J1752)</f>
        <v>94.186666666666639</v>
      </c>
    </row>
    <row r="1754" spans="1:16" x14ac:dyDescent="0.35">
      <c r="A1754" s="7">
        <v>45218</v>
      </c>
      <c r="J1754" s="8">
        <v>81.42</v>
      </c>
      <c r="K1754" s="8">
        <v>82.23</v>
      </c>
      <c r="L1754" s="8">
        <v>85.36</v>
      </c>
      <c r="M1754" s="8">
        <v>86.47</v>
      </c>
      <c r="N1754" s="8">
        <v>89.33</v>
      </c>
      <c r="P1754" s="8">
        <v>92.57</v>
      </c>
    </row>
    <row r="1755" spans="1:16" x14ac:dyDescent="0.35">
      <c r="A1755" s="7">
        <v>45219</v>
      </c>
      <c r="J1755" s="8">
        <v>81.7</v>
      </c>
      <c r="K1755" s="8">
        <v>82.62</v>
      </c>
      <c r="L1755" s="8">
        <v>85.81</v>
      </c>
      <c r="M1755" s="11">
        <f>M1754+AVERAGE(J1755-J1754,N1755-N1754,L1755-L1754)</f>
        <v>86.816666666666663</v>
      </c>
      <c r="N1755" s="8">
        <v>89.64</v>
      </c>
      <c r="P1755" s="8">
        <v>93.63</v>
      </c>
    </row>
    <row r="1756" spans="1:16" x14ac:dyDescent="0.35">
      <c r="A1756" s="7">
        <v>45220</v>
      </c>
      <c r="J1756" s="8">
        <v>81.7</v>
      </c>
      <c r="K1756" s="8">
        <v>82.62</v>
      </c>
      <c r="L1756" s="8">
        <v>85.81</v>
      </c>
      <c r="M1756" s="11">
        <f>M1755+AVERAGE(J1756-J1755,N1756-N1755,L1756-L1755)</f>
        <v>86.816666666666663</v>
      </c>
      <c r="N1756" s="8">
        <v>89.64</v>
      </c>
      <c r="P1756" s="8">
        <v>93.63</v>
      </c>
    </row>
    <row r="1757" spans="1:16" x14ac:dyDescent="0.35">
      <c r="A1757" s="7">
        <v>45221</v>
      </c>
      <c r="J1757" s="8">
        <v>81.7</v>
      </c>
      <c r="K1757" s="8">
        <v>82.62</v>
      </c>
      <c r="L1757" s="8">
        <v>85.81</v>
      </c>
      <c r="M1757" s="11">
        <f>M1756+AVERAGE(J1757-J1756,N1757-N1756,L1757-L1756)</f>
        <v>86.816666666666663</v>
      </c>
      <c r="N1757" s="8">
        <v>89.64</v>
      </c>
      <c r="P1757" s="8">
        <v>93.63</v>
      </c>
    </row>
    <row r="1758" spans="1:16" x14ac:dyDescent="0.35">
      <c r="A1758" s="7">
        <v>45222</v>
      </c>
      <c r="J1758" s="8">
        <v>80.5</v>
      </c>
      <c r="K1758" s="8">
        <v>81.88</v>
      </c>
      <c r="L1758" s="8">
        <v>84.45</v>
      </c>
      <c r="M1758" s="8">
        <v>85.46</v>
      </c>
      <c r="N1758" s="8">
        <v>88.11</v>
      </c>
      <c r="P1758" s="11">
        <f>P1757+AVERAGE(N1758-N1757,L1758-L1757,J1758-J1757)</f>
        <v>92.266666666666666</v>
      </c>
    </row>
    <row r="1759" spans="1:16" x14ac:dyDescent="0.35">
      <c r="A1759" s="7">
        <v>45223</v>
      </c>
      <c r="J1759" s="8">
        <v>80.819999999999993</v>
      </c>
      <c r="K1759" s="8">
        <v>81.89</v>
      </c>
      <c r="L1759" s="8">
        <v>84.88</v>
      </c>
      <c r="M1759" s="11">
        <f>M1758+AVERAGE(J1759-J1758,N1759-N1758,L1759-L1758)</f>
        <v>85.889999999999986</v>
      </c>
      <c r="N1759" s="8">
        <v>88.65</v>
      </c>
      <c r="P1759" s="11">
        <f>P1758+AVERAGE(N1759-N1758,L1759-L1758,J1759-J1758)</f>
        <v>92.696666666666658</v>
      </c>
    </row>
    <row r="1760" spans="1:16" x14ac:dyDescent="0.35">
      <c r="A1760" s="7">
        <v>45224</v>
      </c>
      <c r="J1760" s="8">
        <v>80.16</v>
      </c>
      <c r="K1760" s="8">
        <v>81.290000000000006</v>
      </c>
      <c r="L1760" s="8">
        <v>84.13</v>
      </c>
      <c r="M1760" s="11">
        <f>M1759+AVERAGE(J1760-J1759,N1760-N1759,L1760-L1759)</f>
        <v>85.126666666666651</v>
      </c>
      <c r="N1760" s="8">
        <v>87.77</v>
      </c>
      <c r="P1760" s="8">
        <v>91.26</v>
      </c>
    </row>
    <row r="1761" spans="1:16" x14ac:dyDescent="0.35">
      <c r="A1761" s="7">
        <v>45225</v>
      </c>
      <c r="J1761" s="8">
        <v>79.819999999999993</v>
      </c>
      <c r="K1761" s="8">
        <v>80.760000000000005</v>
      </c>
      <c r="L1761" s="8">
        <v>83.83</v>
      </c>
      <c r="M1761" s="11">
        <f>M1760+AVERAGE(J1761-J1760,N1761-N1760,L1761-L1760)</f>
        <v>84.876666666666651</v>
      </c>
      <c r="N1761" s="8">
        <v>87.66</v>
      </c>
      <c r="P1761" s="11">
        <f>P1760+AVERAGE(N1761-N1760,L1761-L1760,J1761-J1760)</f>
        <v>91.01</v>
      </c>
    </row>
    <row r="1762" spans="1:16" x14ac:dyDescent="0.35">
      <c r="A1762" s="7">
        <v>45226</v>
      </c>
      <c r="J1762" s="8">
        <v>79.69</v>
      </c>
      <c r="K1762" s="8">
        <v>80.47</v>
      </c>
      <c r="L1762" s="8">
        <v>83.72</v>
      </c>
      <c r="M1762" s="8">
        <v>84.87</v>
      </c>
      <c r="N1762" s="8">
        <v>87.29</v>
      </c>
      <c r="P1762" s="8">
        <v>91.16</v>
      </c>
    </row>
    <row r="1763" spans="1:16" x14ac:dyDescent="0.35">
      <c r="A1763" s="7">
        <v>45227</v>
      </c>
      <c r="J1763" s="8">
        <v>79.69</v>
      </c>
      <c r="K1763" s="8">
        <v>80.47</v>
      </c>
      <c r="L1763" s="8">
        <v>83.72</v>
      </c>
      <c r="M1763" s="8">
        <v>84.87</v>
      </c>
      <c r="N1763" s="8">
        <v>87.29</v>
      </c>
      <c r="P1763" s="8">
        <v>91.16</v>
      </c>
    </row>
    <row r="1764" spans="1:16" x14ac:dyDescent="0.35">
      <c r="A1764" s="7">
        <v>45228</v>
      </c>
      <c r="J1764" s="8">
        <v>79.69</v>
      </c>
      <c r="K1764" s="8">
        <v>80.47</v>
      </c>
      <c r="L1764" s="8">
        <v>83.72</v>
      </c>
      <c r="M1764" s="8">
        <v>84.87</v>
      </c>
      <c r="N1764" s="8">
        <v>87.29</v>
      </c>
      <c r="P1764" s="8">
        <v>91.16</v>
      </c>
    </row>
    <row r="1765" spans="1:16" x14ac:dyDescent="0.35">
      <c r="A1765" s="7">
        <v>45229</v>
      </c>
      <c r="J1765" s="8">
        <v>79.47</v>
      </c>
      <c r="K1765" s="8">
        <v>81.34</v>
      </c>
      <c r="L1765" s="8">
        <v>83.41</v>
      </c>
      <c r="M1765" s="11">
        <f>M1764+AVERAGE(J1765-J1764,N1765-N1764,L1765-L1764)</f>
        <v>84.59</v>
      </c>
      <c r="N1765" s="8">
        <v>86.98</v>
      </c>
      <c r="P1765" s="11">
        <f>P1764+AVERAGE(N1765-N1764,L1765-L1764,J1765-J1764)</f>
        <v>90.88</v>
      </c>
    </row>
    <row r="1766" spans="1:16" x14ac:dyDescent="0.35">
      <c r="A1766" s="7">
        <v>45230</v>
      </c>
      <c r="J1766" s="8">
        <v>78.77</v>
      </c>
      <c r="K1766" s="8">
        <v>79.66</v>
      </c>
      <c r="L1766" s="8">
        <v>82.69</v>
      </c>
      <c r="M1766" s="11">
        <f>M1765+AVERAGE(J1766-J1765,N1766-N1765,L1766-L1765)</f>
        <v>83.88666666666667</v>
      </c>
      <c r="N1766" s="8">
        <v>86.29</v>
      </c>
      <c r="P1766" s="8">
        <v>89.73</v>
      </c>
    </row>
    <row r="1767" spans="1:16" x14ac:dyDescent="0.35">
      <c r="A1767" s="7">
        <v>45231</v>
      </c>
      <c r="J1767" s="8">
        <v>79.05</v>
      </c>
      <c r="K1767" s="8">
        <v>80.180000000000007</v>
      </c>
      <c r="L1767" s="8">
        <v>82.96</v>
      </c>
      <c r="M1767" s="11">
        <f>M1766+AVERAGE(J1767-J1766,N1767-N1766,L1767-L1766)</f>
        <v>84.056666666666672</v>
      </c>
      <c r="N1767" s="8">
        <v>86.25</v>
      </c>
      <c r="P1767" s="11">
        <f>P1766+AVERAGE(N1767-N1766,L1767-L1766,J1767-J1766)</f>
        <v>89.9</v>
      </c>
    </row>
    <row r="1768" spans="1:16" x14ac:dyDescent="0.35">
      <c r="A1768" s="7">
        <v>45232</v>
      </c>
      <c r="J1768" s="8">
        <v>77.760000000000005</v>
      </c>
      <c r="K1768" s="8">
        <v>79.069999999999993</v>
      </c>
      <c r="L1768" s="8">
        <v>81.53</v>
      </c>
      <c r="M1768" s="8">
        <v>83.22</v>
      </c>
      <c r="N1768" s="8">
        <v>84.59</v>
      </c>
      <c r="P1768" s="8">
        <v>88.28</v>
      </c>
    </row>
    <row r="1769" spans="1:16" x14ac:dyDescent="0.35">
      <c r="A1769" s="7">
        <v>45233</v>
      </c>
      <c r="J1769" s="8">
        <v>78.53</v>
      </c>
      <c r="K1769" s="8">
        <v>79.36</v>
      </c>
      <c r="L1769" s="8">
        <v>82.5</v>
      </c>
      <c r="M1769" s="11">
        <f>M1768+AVERAGE(J1769-J1768,N1769-N1768,L1769-L1768)</f>
        <v>84.256666666666661</v>
      </c>
      <c r="N1769" s="8">
        <v>85.96</v>
      </c>
      <c r="P1769" s="8">
        <v>88.69</v>
      </c>
    </row>
    <row r="1770" spans="1:16" x14ac:dyDescent="0.35">
      <c r="A1770" s="7">
        <v>45234</v>
      </c>
      <c r="J1770" s="8">
        <v>78.53</v>
      </c>
      <c r="K1770" s="8">
        <v>79.36</v>
      </c>
      <c r="L1770" s="8">
        <v>82.5</v>
      </c>
      <c r="M1770" s="11">
        <f>M1769+AVERAGE(J1770-J1769,N1770-N1769,L1770-L1769)</f>
        <v>84.256666666666661</v>
      </c>
      <c r="N1770" s="8">
        <v>85.96</v>
      </c>
      <c r="P1770" s="8">
        <v>88.69</v>
      </c>
    </row>
    <row r="1771" spans="1:16" x14ac:dyDescent="0.35">
      <c r="A1771" s="7">
        <v>45235</v>
      </c>
      <c r="J1771" s="8">
        <v>78.53</v>
      </c>
      <c r="K1771" s="8">
        <v>79.36</v>
      </c>
      <c r="L1771" s="8">
        <v>82.5</v>
      </c>
      <c r="M1771" s="11">
        <f>M1770+AVERAGE(J1771-J1770,N1771-N1770,L1771-L1770)</f>
        <v>84.256666666666661</v>
      </c>
      <c r="N1771" s="8">
        <v>85.96</v>
      </c>
      <c r="P1771" s="8">
        <v>88.69</v>
      </c>
    </row>
    <row r="1772" spans="1:16" x14ac:dyDescent="0.35">
      <c r="A1772" s="7">
        <v>45236</v>
      </c>
      <c r="J1772" s="8">
        <v>76.23</v>
      </c>
      <c r="K1772" s="8">
        <v>77.22</v>
      </c>
      <c r="L1772" s="8">
        <v>80.09</v>
      </c>
      <c r="M1772" s="8">
        <v>81.47</v>
      </c>
      <c r="N1772" s="8">
        <v>83.08</v>
      </c>
      <c r="P1772" s="8">
        <v>86.67</v>
      </c>
    </row>
    <row r="1773" spans="1:16" x14ac:dyDescent="0.35">
      <c r="A1773" s="7">
        <v>45237</v>
      </c>
      <c r="J1773" s="8">
        <v>75.7</v>
      </c>
      <c r="K1773" s="8">
        <v>76.7</v>
      </c>
      <c r="L1773" s="8">
        <v>79.38</v>
      </c>
      <c r="M1773" s="8">
        <v>80.25</v>
      </c>
      <c r="N1773" s="8">
        <v>82.77</v>
      </c>
      <c r="P1773" s="8">
        <v>86.32</v>
      </c>
    </row>
    <row r="1774" spans="1:16" x14ac:dyDescent="0.35">
      <c r="A1774" s="7">
        <v>45238</v>
      </c>
      <c r="J1774" s="8">
        <v>75.66</v>
      </c>
      <c r="K1774" s="8">
        <v>76.53</v>
      </c>
      <c r="L1774" s="8">
        <v>79.36</v>
      </c>
      <c r="M1774" s="8">
        <v>80.180000000000007</v>
      </c>
      <c r="N1774" s="8">
        <v>82.77</v>
      </c>
      <c r="P1774" s="8">
        <v>86.47</v>
      </c>
    </row>
    <row r="1775" spans="1:16" x14ac:dyDescent="0.35">
      <c r="A1775" s="7">
        <v>45239</v>
      </c>
      <c r="J1775" s="8">
        <v>76.31</v>
      </c>
      <c r="K1775" s="8">
        <v>77.010000000000005</v>
      </c>
      <c r="L1775" s="8">
        <v>79.84</v>
      </c>
      <c r="M1775" s="11">
        <f>M1774+AVERAGE(J1775-J1774,N1775-N1774,L1775-L1774)</f>
        <v>80.680000000000007</v>
      </c>
      <c r="N1775" s="8">
        <v>83.14</v>
      </c>
      <c r="P1775" s="8">
        <v>86.88</v>
      </c>
    </row>
    <row r="1776" spans="1:16" x14ac:dyDescent="0.35">
      <c r="A1776" s="7">
        <v>45240</v>
      </c>
      <c r="J1776" s="8">
        <v>77.33</v>
      </c>
      <c r="K1776" s="8">
        <v>77.989999999999995</v>
      </c>
      <c r="L1776" s="8">
        <v>80.790000000000006</v>
      </c>
      <c r="M1776" s="8">
        <v>81.95</v>
      </c>
      <c r="N1776" s="8">
        <v>84.38</v>
      </c>
      <c r="P1776" s="8">
        <v>88.48</v>
      </c>
    </row>
    <row r="1777" spans="1:16" x14ac:dyDescent="0.35">
      <c r="A1777" s="7">
        <v>45241</v>
      </c>
      <c r="J1777" s="8">
        <v>77.33</v>
      </c>
      <c r="K1777" s="8">
        <v>77.989999999999995</v>
      </c>
      <c r="L1777" s="8">
        <v>80.790000000000006</v>
      </c>
      <c r="M1777" s="8">
        <v>81.95</v>
      </c>
      <c r="N1777" s="8">
        <v>84.38</v>
      </c>
      <c r="P1777" s="8">
        <v>88.48</v>
      </c>
    </row>
    <row r="1778" spans="1:16" x14ac:dyDescent="0.35">
      <c r="A1778" s="7">
        <v>45242</v>
      </c>
      <c r="J1778" s="8">
        <v>77.33</v>
      </c>
      <c r="K1778" s="8">
        <v>77.989999999999995</v>
      </c>
      <c r="L1778" s="8">
        <v>80.790000000000006</v>
      </c>
      <c r="M1778" s="8">
        <v>81.95</v>
      </c>
      <c r="N1778" s="8">
        <v>84.38</v>
      </c>
      <c r="P1778" s="8">
        <v>88.48</v>
      </c>
    </row>
    <row r="1779" spans="1:16" x14ac:dyDescent="0.35">
      <c r="A1779" s="7">
        <v>45243</v>
      </c>
      <c r="J1779" s="8">
        <v>77.17</v>
      </c>
      <c r="K1779" s="8">
        <v>78.27</v>
      </c>
      <c r="L1779" s="8">
        <v>80.75</v>
      </c>
      <c r="M1779" s="11">
        <f>M1778+AVERAGE(J1779-J1778,N1779-N1778,L1779-L1778)</f>
        <v>81.683333333333337</v>
      </c>
      <c r="N1779" s="8">
        <v>83.78</v>
      </c>
      <c r="P1779" s="8">
        <v>87.17</v>
      </c>
    </row>
    <row r="1780" spans="1:16" x14ac:dyDescent="0.35">
      <c r="A1780" s="7">
        <v>45244</v>
      </c>
      <c r="J1780" s="8">
        <v>77.86</v>
      </c>
      <c r="K1780" s="8">
        <v>79.099999999999994</v>
      </c>
      <c r="L1780" s="8">
        <v>81.569999999999993</v>
      </c>
      <c r="M1780" s="8">
        <v>83.32</v>
      </c>
      <c r="N1780" s="8">
        <v>84.85</v>
      </c>
      <c r="P1780" s="8">
        <v>88.3</v>
      </c>
    </row>
    <row r="1781" spans="1:16" x14ac:dyDescent="0.35">
      <c r="A1781" s="7">
        <v>45245</v>
      </c>
      <c r="J1781" s="8">
        <v>79.650000000000006</v>
      </c>
      <c r="K1781" s="8">
        <v>80.680000000000007</v>
      </c>
      <c r="L1781" s="8">
        <v>83.43</v>
      </c>
      <c r="M1781" s="11">
        <f>M1780+AVERAGE(J1781-J1780,N1781-N1780,L1781-L1780)</f>
        <v>85.143333333333331</v>
      </c>
      <c r="N1781" s="8">
        <v>86.67</v>
      </c>
      <c r="P1781" s="8">
        <v>90.15</v>
      </c>
    </row>
    <row r="1782" spans="1:16" x14ac:dyDescent="0.35">
      <c r="A1782" s="7">
        <v>45246</v>
      </c>
      <c r="J1782" s="8">
        <v>78.12</v>
      </c>
      <c r="K1782" s="8">
        <v>79.349999999999994</v>
      </c>
      <c r="L1782" s="8">
        <v>81.760000000000005</v>
      </c>
      <c r="M1782" s="8">
        <v>82.1</v>
      </c>
      <c r="N1782" s="8">
        <v>85.62</v>
      </c>
      <c r="P1782" s="8">
        <v>89.38</v>
      </c>
    </row>
    <row r="1783" spans="1:16" x14ac:dyDescent="0.35">
      <c r="A1783" s="7">
        <v>45247</v>
      </c>
      <c r="J1783" s="8">
        <v>76.78</v>
      </c>
      <c r="K1783" s="8">
        <v>77.709999999999994</v>
      </c>
      <c r="L1783" s="8">
        <v>80.44</v>
      </c>
      <c r="M1783" s="11">
        <f>M1782+AVERAGE(J1783-J1782,N1783-N1782,L1783-L1782)</f>
        <v>80.59333333333332</v>
      </c>
      <c r="N1783" s="8">
        <v>83.76</v>
      </c>
      <c r="P1783" s="8">
        <v>86.97</v>
      </c>
    </row>
    <row r="1784" spans="1:16" x14ac:dyDescent="0.35">
      <c r="A1784" s="7">
        <v>45248</v>
      </c>
      <c r="J1784" s="8">
        <v>76.78</v>
      </c>
      <c r="K1784" s="8">
        <v>77.709999999999994</v>
      </c>
      <c r="L1784" s="8">
        <v>80.44</v>
      </c>
      <c r="M1784" s="11">
        <f>M1783+AVERAGE(J1784-J1783,N1784-N1783,L1784-L1783)</f>
        <v>80.59333333333332</v>
      </c>
      <c r="N1784" s="8">
        <v>83.76</v>
      </c>
      <c r="P1784" s="8">
        <v>86.97</v>
      </c>
    </row>
    <row r="1785" spans="1:16" x14ac:dyDescent="0.35">
      <c r="A1785" s="7">
        <v>45249</v>
      </c>
      <c r="J1785" s="8">
        <v>76.78</v>
      </c>
      <c r="K1785" s="8">
        <v>77.709999999999994</v>
      </c>
      <c r="L1785" s="8">
        <v>80.44</v>
      </c>
      <c r="M1785" s="11">
        <f>M1784+AVERAGE(J1785-J1784,N1785-N1784,L1785-L1784)</f>
        <v>80.59333333333332</v>
      </c>
      <c r="N1785" s="8">
        <v>83.76</v>
      </c>
      <c r="P1785" s="8">
        <v>86.97</v>
      </c>
    </row>
    <row r="1786" spans="1:16" x14ac:dyDescent="0.35">
      <c r="A1786" s="7">
        <v>45250</v>
      </c>
      <c r="J1786" s="8">
        <v>76.959999999999994</v>
      </c>
      <c r="K1786" s="8">
        <v>77.900000000000006</v>
      </c>
      <c r="L1786" s="8">
        <v>80.540000000000006</v>
      </c>
      <c r="M1786" s="11">
        <f>M1785+AVERAGE(J1786-J1785,N1786-N1785,L1786-L1785)</f>
        <v>80.689999999999984</v>
      </c>
      <c r="N1786" s="8">
        <v>83.77</v>
      </c>
      <c r="P1786" s="8">
        <v>86.46</v>
      </c>
    </row>
    <row r="1787" spans="1:16" x14ac:dyDescent="0.35">
      <c r="A1787" s="7">
        <v>45251</v>
      </c>
      <c r="J1787" s="8">
        <v>75.67</v>
      </c>
      <c r="K1787" s="8">
        <v>76.64</v>
      </c>
      <c r="L1787" s="8">
        <v>79.31</v>
      </c>
      <c r="M1787" s="8">
        <v>80.08</v>
      </c>
      <c r="N1787" s="8">
        <v>82.51</v>
      </c>
      <c r="P1787" s="8">
        <v>85.83</v>
      </c>
    </row>
    <row r="1788" spans="1:16" x14ac:dyDescent="0.35">
      <c r="A1788" s="7">
        <v>45252</v>
      </c>
      <c r="J1788" s="8">
        <v>75.38</v>
      </c>
      <c r="K1788" s="8">
        <v>76.12</v>
      </c>
      <c r="L1788" s="8">
        <v>78.94</v>
      </c>
      <c r="M1788" s="8">
        <v>79.5</v>
      </c>
      <c r="N1788" s="8">
        <v>82.09</v>
      </c>
      <c r="P1788" s="8">
        <v>85.05</v>
      </c>
    </row>
    <row r="1789" spans="1:16" x14ac:dyDescent="0.35">
      <c r="A1789" s="7">
        <v>45253</v>
      </c>
      <c r="J1789" s="8">
        <v>75.739999999999995</v>
      </c>
      <c r="K1789" s="8">
        <v>76.3</v>
      </c>
      <c r="L1789" s="8">
        <v>79.06</v>
      </c>
      <c r="M1789" s="11">
        <f>M1788+AVERAGE(J1789-J1788,N1789-N1788,L1789-L1788)</f>
        <v>79.69</v>
      </c>
      <c r="N1789" s="8">
        <v>82.18</v>
      </c>
      <c r="P1789" s="11">
        <f>P1788+AVERAGE(N1789-N1788,L1789-L1788,J1789-J1788)</f>
        <v>85.24</v>
      </c>
    </row>
    <row r="1790" spans="1:16" x14ac:dyDescent="0.35">
      <c r="A1790" s="7">
        <v>45254</v>
      </c>
      <c r="J1790" s="8">
        <v>76.58</v>
      </c>
      <c r="K1790" s="8">
        <v>77.540000000000006</v>
      </c>
      <c r="L1790" s="8">
        <v>80.14</v>
      </c>
      <c r="M1790" s="8">
        <v>81.3</v>
      </c>
      <c r="N1790" s="8">
        <v>83.5</v>
      </c>
      <c r="P1790" s="8">
        <v>86.66</v>
      </c>
    </row>
    <row r="1791" spans="1:16" x14ac:dyDescent="0.35">
      <c r="A1791" s="7">
        <v>45255</v>
      </c>
      <c r="J1791" s="8">
        <v>76.58</v>
      </c>
      <c r="K1791" s="8">
        <v>77.540000000000006</v>
      </c>
      <c r="L1791" s="8">
        <v>80.14</v>
      </c>
      <c r="M1791" s="8">
        <v>81.3</v>
      </c>
      <c r="N1791" s="8">
        <v>83.5</v>
      </c>
      <c r="P1791" s="8">
        <v>86.66</v>
      </c>
    </row>
    <row r="1792" spans="1:16" x14ac:dyDescent="0.35">
      <c r="A1792" s="7">
        <v>45256</v>
      </c>
      <c r="J1792" s="8">
        <v>76.58</v>
      </c>
      <c r="K1792" s="8">
        <v>77.540000000000006</v>
      </c>
      <c r="L1792" s="8">
        <v>80.14</v>
      </c>
      <c r="M1792" s="8">
        <v>81.3</v>
      </c>
      <c r="N1792" s="8">
        <v>83.5</v>
      </c>
      <c r="P1792" s="8">
        <v>86.66</v>
      </c>
    </row>
    <row r="1793" spans="1:16" x14ac:dyDescent="0.35">
      <c r="A1793" s="7">
        <v>45257</v>
      </c>
      <c r="J1793" s="8">
        <v>74.37</v>
      </c>
      <c r="K1793" s="8">
        <v>75.459999999999994</v>
      </c>
      <c r="L1793" s="8">
        <v>78.09</v>
      </c>
      <c r="M1793" s="8">
        <v>78.98</v>
      </c>
      <c r="N1793" s="8">
        <v>81.510000000000005</v>
      </c>
      <c r="P1793" s="8">
        <v>84.51</v>
      </c>
    </row>
    <row r="1794" spans="1:16" x14ac:dyDescent="0.35">
      <c r="A1794" s="7">
        <v>45258</v>
      </c>
      <c r="J1794" s="8">
        <v>72.73</v>
      </c>
      <c r="K1794" s="8">
        <v>73.569999999999993</v>
      </c>
      <c r="L1794" s="8">
        <v>76.23</v>
      </c>
      <c r="M1794" s="8">
        <v>77.260000000000005</v>
      </c>
      <c r="N1794" s="8">
        <v>79.180000000000007</v>
      </c>
      <c r="P1794" s="8">
        <v>82.34</v>
      </c>
    </row>
    <row r="1795" spans="1:16" x14ac:dyDescent="0.35">
      <c r="A1795" s="7">
        <v>45259</v>
      </c>
      <c r="J1795" s="8">
        <v>71.69</v>
      </c>
      <c r="K1795" s="8">
        <v>72.73</v>
      </c>
      <c r="L1795" s="8">
        <v>75.3</v>
      </c>
      <c r="M1795" s="8">
        <v>75.84</v>
      </c>
      <c r="N1795" s="8">
        <v>78.03</v>
      </c>
      <c r="P1795" s="8">
        <v>82.22</v>
      </c>
    </row>
    <row r="1796" spans="1:16" x14ac:dyDescent="0.35">
      <c r="A1796" s="7">
        <v>45260</v>
      </c>
      <c r="J1796" s="8">
        <v>71.11</v>
      </c>
      <c r="K1796" s="8">
        <v>71.989999999999995</v>
      </c>
      <c r="L1796" s="8">
        <v>74.45</v>
      </c>
      <c r="M1796" s="8">
        <v>75.64</v>
      </c>
      <c r="N1796" s="8">
        <v>77.36</v>
      </c>
      <c r="P1796" s="11">
        <f>P1795+AVERAGE(N1796-N1795,L1796-L1795,J1796-J1795)</f>
        <v>81.52</v>
      </c>
    </row>
    <row r="1797" spans="1:16" x14ac:dyDescent="0.35">
      <c r="A1797" s="7">
        <v>45261</v>
      </c>
      <c r="J1797" s="8">
        <v>72.23</v>
      </c>
      <c r="K1797" s="8">
        <v>72.64</v>
      </c>
      <c r="L1797" s="8">
        <v>75.47</v>
      </c>
      <c r="M1797" s="8">
        <v>75.69</v>
      </c>
      <c r="N1797" s="8">
        <v>78.430000000000007</v>
      </c>
      <c r="P1797" s="8">
        <v>81.16</v>
      </c>
    </row>
    <row r="1798" spans="1:16" x14ac:dyDescent="0.35">
      <c r="A1798" s="7">
        <v>45262</v>
      </c>
      <c r="J1798" s="8">
        <v>72.23</v>
      </c>
      <c r="K1798" s="8">
        <v>72.64</v>
      </c>
      <c r="L1798" s="8">
        <v>75.47</v>
      </c>
      <c r="M1798" s="8">
        <v>75.69</v>
      </c>
      <c r="N1798" s="8">
        <v>78.430000000000007</v>
      </c>
      <c r="P1798" s="8">
        <v>81.16</v>
      </c>
    </row>
    <row r="1799" spans="1:16" x14ac:dyDescent="0.35">
      <c r="A1799" s="7">
        <v>45263</v>
      </c>
      <c r="J1799" s="8">
        <v>72.23</v>
      </c>
      <c r="K1799" s="8">
        <v>72.64</v>
      </c>
      <c r="L1799" s="8">
        <v>75.47</v>
      </c>
      <c r="M1799" s="8">
        <v>75.69</v>
      </c>
      <c r="N1799" s="8">
        <v>78.430000000000007</v>
      </c>
      <c r="P1799" s="8">
        <v>81.16</v>
      </c>
    </row>
    <row r="1800" spans="1:16" x14ac:dyDescent="0.35">
      <c r="A1800" s="7">
        <v>45264</v>
      </c>
      <c r="J1800" s="8">
        <v>71.14</v>
      </c>
      <c r="K1800" s="8">
        <v>72.150000000000006</v>
      </c>
      <c r="L1800" s="8">
        <v>74.239999999999995</v>
      </c>
      <c r="M1800" s="8">
        <v>74.63</v>
      </c>
      <c r="N1800" s="8">
        <v>77.37</v>
      </c>
      <c r="P1800" s="8">
        <v>80.31</v>
      </c>
    </row>
    <row r="1801" spans="1:16" x14ac:dyDescent="0.35">
      <c r="A1801" s="7">
        <v>45265</v>
      </c>
      <c r="J1801" s="8">
        <v>69.5</v>
      </c>
      <c r="K1801" s="8">
        <v>70.31</v>
      </c>
      <c r="L1801" s="8">
        <v>72.48</v>
      </c>
      <c r="M1801" s="8">
        <v>73.03</v>
      </c>
      <c r="N1801" s="8">
        <v>75.349999999999994</v>
      </c>
      <c r="P1801" s="8">
        <v>78.44</v>
      </c>
    </row>
    <row r="1802" spans="1:16" x14ac:dyDescent="0.35">
      <c r="A1802" s="7">
        <v>45266</v>
      </c>
      <c r="J1802" s="8">
        <v>69.06</v>
      </c>
      <c r="K1802" s="8">
        <v>69.87</v>
      </c>
      <c r="L1802" s="8">
        <v>71.989999999999995</v>
      </c>
      <c r="M1802" s="8">
        <v>72.790000000000006</v>
      </c>
      <c r="N1802" s="8">
        <v>74.53</v>
      </c>
      <c r="P1802" s="8">
        <v>77.3</v>
      </c>
    </row>
    <row r="1803" spans="1:16" x14ac:dyDescent="0.35">
      <c r="A1803" s="7">
        <v>45267</v>
      </c>
      <c r="J1803" s="8">
        <v>69.260000000000005</v>
      </c>
      <c r="K1803" s="8">
        <v>69.88</v>
      </c>
      <c r="L1803" s="8">
        <v>72.209999999999994</v>
      </c>
      <c r="M1803" s="11">
        <f>M1802+AVERAGE(J1803-J1802,N1803-N1802,L1803-L1802)</f>
        <v>73.106666666666669</v>
      </c>
      <c r="N1803" s="8">
        <v>75.06</v>
      </c>
      <c r="P1803" s="8">
        <v>78.040000000000006</v>
      </c>
    </row>
    <row r="1804" spans="1:16" x14ac:dyDescent="0.35">
      <c r="A1804" s="7">
        <v>45268</v>
      </c>
      <c r="J1804" s="8">
        <v>69.47</v>
      </c>
      <c r="K1804" s="8">
        <v>70.290000000000006</v>
      </c>
      <c r="L1804" s="8">
        <v>72.5</v>
      </c>
      <c r="M1804" s="8">
        <v>73.06</v>
      </c>
      <c r="N1804" s="8">
        <v>75.239999999999995</v>
      </c>
      <c r="P1804" s="8">
        <v>78.09</v>
      </c>
    </row>
    <row r="1805" spans="1:16" x14ac:dyDescent="0.35">
      <c r="A1805" s="7">
        <v>45269</v>
      </c>
      <c r="J1805" s="8">
        <v>69.47</v>
      </c>
      <c r="K1805" s="8">
        <v>70.290000000000006</v>
      </c>
      <c r="L1805" s="8">
        <v>72.5</v>
      </c>
      <c r="M1805" s="8">
        <v>73.06</v>
      </c>
      <c r="N1805" s="8">
        <v>75.239999999999995</v>
      </c>
      <c r="P1805" s="8">
        <v>78.09</v>
      </c>
    </row>
    <row r="1806" spans="1:16" x14ac:dyDescent="0.35">
      <c r="A1806" s="7">
        <v>45270</v>
      </c>
      <c r="J1806" s="8">
        <v>69.47</v>
      </c>
      <c r="K1806" s="8">
        <v>70.290000000000006</v>
      </c>
      <c r="L1806" s="8">
        <v>72.5</v>
      </c>
      <c r="M1806" s="8">
        <v>73.06</v>
      </c>
      <c r="N1806" s="8">
        <v>75.239999999999995</v>
      </c>
      <c r="P1806" s="8">
        <v>78.09</v>
      </c>
    </row>
    <row r="1807" spans="1:16" x14ac:dyDescent="0.35">
      <c r="A1807" s="7">
        <v>45271</v>
      </c>
      <c r="J1807" s="8">
        <v>67.47</v>
      </c>
      <c r="K1807" s="8">
        <v>68.37</v>
      </c>
      <c r="L1807" s="8">
        <v>70.459999999999994</v>
      </c>
      <c r="M1807" s="11">
        <f>M1806+AVERAGE(J1807-J1806,N1807-N1806,L1807-L1806)</f>
        <v>71.033333333333331</v>
      </c>
      <c r="N1807" s="8">
        <v>73.2</v>
      </c>
      <c r="P1807" s="8">
        <v>76.400000000000006</v>
      </c>
    </row>
    <row r="1808" spans="1:16" x14ac:dyDescent="0.35">
      <c r="A1808" s="7">
        <v>45272</v>
      </c>
      <c r="J1808" s="8">
        <v>67.569999999999993</v>
      </c>
      <c r="K1808" s="8">
        <v>68.239999999999995</v>
      </c>
      <c r="L1808" s="8">
        <v>70.52</v>
      </c>
      <c r="M1808" s="11">
        <f>M1807+AVERAGE(J1808-J1807,N1808-N1807,L1808-L1807)</f>
        <v>71.126666666666665</v>
      </c>
      <c r="N1808" s="8">
        <v>73.319999999999993</v>
      </c>
      <c r="P1808" s="8">
        <v>76.16</v>
      </c>
    </row>
    <row r="1809" spans="1:16" x14ac:dyDescent="0.35">
      <c r="A1809" s="7">
        <v>45273</v>
      </c>
      <c r="J1809" s="8">
        <v>68.88</v>
      </c>
      <c r="K1809" s="8">
        <v>69.78</v>
      </c>
      <c r="L1809" s="8">
        <v>71.97</v>
      </c>
      <c r="M1809" s="8">
        <v>73.760000000000005</v>
      </c>
      <c r="N1809" s="8">
        <v>74.8</v>
      </c>
      <c r="P1809" s="8">
        <v>77.52</v>
      </c>
    </row>
    <row r="1810" spans="1:16" x14ac:dyDescent="0.35">
      <c r="A1810" s="7">
        <v>45274</v>
      </c>
      <c r="J1810" s="8">
        <v>68.14</v>
      </c>
      <c r="K1810" s="8">
        <v>69.41</v>
      </c>
      <c r="L1810" s="8">
        <v>70.88</v>
      </c>
      <c r="M1810" s="8">
        <v>72.73</v>
      </c>
      <c r="N1810" s="8">
        <v>72.94</v>
      </c>
      <c r="P1810" s="8">
        <v>75.97</v>
      </c>
    </row>
    <row r="1811" spans="1:16" x14ac:dyDescent="0.35">
      <c r="A1811" s="7">
        <v>45275</v>
      </c>
      <c r="J1811" s="8">
        <v>66.92</v>
      </c>
      <c r="K1811" s="8">
        <v>67.569999999999993</v>
      </c>
      <c r="L1811" s="8">
        <v>69.78</v>
      </c>
      <c r="M1811" s="8">
        <v>70.48</v>
      </c>
      <c r="N1811" s="8">
        <v>72.23</v>
      </c>
      <c r="P1811" s="8">
        <v>74.59</v>
      </c>
    </row>
    <row r="1812" spans="1:16" x14ac:dyDescent="0.35">
      <c r="A1812" s="7">
        <v>45276</v>
      </c>
      <c r="J1812" s="8">
        <v>66.92</v>
      </c>
      <c r="K1812" s="8">
        <v>67.569999999999993</v>
      </c>
      <c r="L1812" s="8">
        <v>69.78</v>
      </c>
      <c r="M1812" s="8">
        <v>70.48</v>
      </c>
      <c r="N1812" s="8">
        <v>72.23</v>
      </c>
      <c r="P1812" s="8">
        <v>74.59</v>
      </c>
    </row>
    <row r="1813" spans="1:16" x14ac:dyDescent="0.35">
      <c r="A1813" s="7">
        <v>45277</v>
      </c>
      <c r="J1813" s="8">
        <v>66.92</v>
      </c>
      <c r="K1813" s="8">
        <v>67.569999999999993</v>
      </c>
      <c r="L1813" s="8">
        <v>69.78</v>
      </c>
      <c r="M1813" s="8">
        <v>70.48</v>
      </c>
      <c r="N1813" s="8">
        <v>72.23</v>
      </c>
      <c r="P1813" s="8">
        <v>74.59</v>
      </c>
    </row>
    <row r="1814" spans="1:16" x14ac:dyDescent="0.35">
      <c r="A1814" s="7">
        <v>45278</v>
      </c>
      <c r="J1814" s="8">
        <v>68.099999999999994</v>
      </c>
      <c r="K1814" s="8">
        <v>68.75</v>
      </c>
      <c r="L1814" s="8">
        <v>71.22</v>
      </c>
      <c r="M1814" s="11">
        <f>M1813+AVERAGE(J1814-J1813,N1814-N1813,L1814-L1813)</f>
        <v>71.933333333333337</v>
      </c>
      <c r="N1814" s="8">
        <v>73.97</v>
      </c>
      <c r="P1814" s="8">
        <v>76.48</v>
      </c>
    </row>
    <row r="1815" spans="1:16" x14ac:dyDescent="0.35">
      <c r="A1815" s="7">
        <v>45279</v>
      </c>
      <c r="K1815" s="8">
        <v>69.53</v>
      </c>
      <c r="L1815" s="8">
        <v>71.540000000000006</v>
      </c>
      <c r="M1815" s="11">
        <f>M1814+AVERAGE(N1815-N1814,L1815-L1814,P1815-P1814)</f>
        <v>72.176666666666677</v>
      </c>
      <c r="N1815" s="8">
        <v>74.05</v>
      </c>
      <c r="P1815" s="8">
        <v>76.81</v>
      </c>
    </row>
    <row r="1816" spans="1:16" x14ac:dyDescent="0.35">
      <c r="A1816" s="7">
        <v>45280</v>
      </c>
      <c r="K1816" s="8">
        <v>71.55</v>
      </c>
      <c r="L1816" s="8">
        <v>73.92</v>
      </c>
      <c r="M1816" s="8">
        <v>74.010000000000005</v>
      </c>
      <c r="N1816" s="8">
        <v>76.45</v>
      </c>
      <c r="P1816" s="8">
        <v>79.03</v>
      </c>
    </row>
    <row r="1817" spans="1:16" x14ac:dyDescent="0.35">
      <c r="A1817" s="7">
        <v>45281</v>
      </c>
      <c r="K1817" s="8">
        <v>75.39</v>
      </c>
      <c r="L1817" s="8">
        <v>77.47</v>
      </c>
      <c r="M1817" s="8">
        <v>79.48</v>
      </c>
      <c r="N1817" s="8">
        <v>79.77</v>
      </c>
      <c r="P1817" s="8">
        <v>82.24</v>
      </c>
    </row>
    <row r="1818" spans="1:16" x14ac:dyDescent="0.35">
      <c r="A1818" s="7">
        <v>45282</v>
      </c>
      <c r="K1818" s="8">
        <v>76.459999999999994</v>
      </c>
      <c r="L1818" s="8">
        <v>78.73</v>
      </c>
      <c r="M1818" s="11">
        <f t="shared" ref="M1818:M1825" si="6">M1817+AVERAGE(N1818-N1817,L1818-L1817,P1818-P1817)</f>
        <v>81.033333333333346</v>
      </c>
      <c r="N1818" s="8">
        <v>81.39</v>
      </c>
      <c r="P1818" s="8">
        <v>84.02</v>
      </c>
    </row>
    <row r="1819" spans="1:16" x14ac:dyDescent="0.35">
      <c r="A1819" s="7">
        <v>45283</v>
      </c>
      <c r="K1819" s="8">
        <v>76.459999999999994</v>
      </c>
      <c r="L1819" s="8">
        <v>78.73</v>
      </c>
      <c r="M1819" s="11">
        <f t="shared" si="6"/>
        <v>81.033333333333346</v>
      </c>
      <c r="N1819" s="8">
        <v>81.39</v>
      </c>
      <c r="P1819" s="8">
        <v>84.02</v>
      </c>
    </row>
    <row r="1820" spans="1:16" x14ac:dyDescent="0.35">
      <c r="A1820" s="7">
        <v>45284</v>
      </c>
      <c r="K1820" s="8">
        <v>76.459999999999994</v>
      </c>
      <c r="L1820" s="8">
        <v>78.73</v>
      </c>
      <c r="M1820" s="11">
        <f t="shared" si="6"/>
        <v>81.033333333333346</v>
      </c>
      <c r="N1820" s="8">
        <v>81.39</v>
      </c>
      <c r="P1820" s="8">
        <v>84.02</v>
      </c>
    </row>
    <row r="1821" spans="1:16" x14ac:dyDescent="0.35">
      <c r="A1821" s="7">
        <v>45285</v>
      </c>
      <c r="K1821" s="8">
        <v>76.459999999999994</v>
      </c>
      <c r="L1821" s="8">
        <v>78.73</v>
      </c>
      <c r="M1821" s="11">
        <f t="shared" si="6"/>
        <v>81.033333333333346</v>
      </c>
      <c r="N1821" s="8">
        <v>81.39</v>
      </c>
      <c r="P1821" s="8">
        <v>84.02</v>
      </c>
    </row>
    <row r="1822" spans="1:16" x14ac:dyDescent="0.35">
      <c r="A1822" s="7">
        <v>45286</v>
      </c>
      <c r="K1822" s="8">
        <v>76.459999999999994</v>
      </c>
      <c r="L1822" s="8">
        <v>78.73</v>
      </c>
      <c r="M1822" s="11">
        <f t="shared" si="6"/>
        <v>81.033333333333346</v>
      </c>
      <c r="N1822" s="8">
        <v>81.39</v>
      </c>
      <c r="P1822" s="8">
        <v>84.02</v>
      </c>
    </row>
    <row r="1823" spans="1:16" x14ac:dyDescent="0.35">
      <c r="A1823" s="7">
        <v>45287</v>
      </c>
      <c r="K1823" s="8">
        <v>77.819999999999993</v>
      </c>
      <c r="L1823" s="8">
        <v>80.19</v>
      </c>
      <c r="M1823" s="11">
        <f t="shared" si="6"/>
        <v>82.370000000000019</v>
      </c>
      <c r="N1823" s="8">
        <v>82.68</v>
      </c>
      <c r="P1823" s="8">
        <v>85.28</v>
      </c>
    </row>
    <row r="1824" spans="1:16" x14ac:dyDescent="0.35">
      <c r="A1824" s="7">
        <v>45288</v>
      </c>
      <c r="K1824" s="8">
        <v>77.59</v>
      </c>
      <c r="L1824" s="8">
        <v>79.709999999999994</v>
      </c>
      <c r="M1824" s="11">
        <f t="shared" si="6"/>
        <v>81.830000000000013</v>
      </c>
      <c r="N1824" s="8">
        <v>82.3</v>
      </c>
      <c r="P1824" s="8">
        <v>84.52</v>
      </c>
    </row>
    <row r="1825" spans="1:18" x14ac:dyDescent="0.35">
      <c r="A1825" s="7">
        <v>45289</v>
      </c>
      <c r="K1825" s="8">
        <v>77.98</v>
      </c>
      <c r="L1825" s="8">
        <v>80.319999999999993</v>
      </c>
      <c r="M1825" s="11">
        <f t="shared" si="6"/>
        <v>82.40000000000002</v>
      </c>
      <c r="N1825" s="8">
        <v>82.88</v>
      </c>
      <c r="P1825" s="8">
        <v>85.04</v>
      </c>
    </row>
    <row r="1826" spans="1:18" x14ac:dyDescent="0.35">
      <c r="A1826" s="7">
        <v>45290</v>
      </c>
      <c r="K1826" s="8">
        <v>77.98</v>
      </c>
      <c r="L1826" s="8">
        <v>80.319999999999993</v>
      </c>
      <c r="M1826" s="11">
        <f>M1825+AVERAGE(N1826-N1825,L1826-L1825,P1826-P1825)</f>
        <v>82.40000000000002</v>
      </c>
      <c r="N1826" s="8">
        <v>82.88</v>
      </c>
      <c r="P1826" s="8">
        <v>85.04</v>
      </c>
    </row>
    <row r="1827" spans="1:18" x14ac:dyDescent="0.35">
      <c r="A1827" s="7">
        <v>45291</v>
      </c>
      <c r="K1827" s="8">
        <v>77.98</v>
      </c>
      <c r="L1827" s="8">
        <v>80.319999999999993</v>
      </c>
      <c r="M1827" s="11">
        <f>M1826+AVERAGE(N1827-N1826,L1827-L1826,P1827-P1826)</f>
        <v>82.40000000000002</v>
      </c>
      <c r="N1827" s="8">
        <v>82.88</v>
      </c>
      <c r="P1827" s="8">
        <v>85.04</v>
      </c>
    </row>
    <row r="1828" spans="1:18" x14ac:dyDescent="0.35">
      <c r="A1828" s="7">
        <v>45292</v>
      </c>
      <c r="K1828" s="8">
        <v>77.98</v>
      </c>
      <c r="L1828" s="8">
        <v>80.319999999999993</v>
      </c>
      <c r="M1828" s="11">
        <f>M1827+AVERAGE(N1828-N1827,L1828-L1827,P1828-P1827)</f>
        <v>82.40000000000002</v>
      </c>
      <c r="N1828" s="8">
        <v>82.88</v>
      </c>
      <c r="P1828" s="8">
        <v>85.04</v>
      </c>
    </row>
    <row r="1829" spans="1:18" x14ac:dyDescent="0.35">
      <c r="A1829" s="7">
        <v>45293</v>
      </c>
      <c r="K1829" s="8">
        <v>74.91</v>
      </c>
      <c r="L1829" s="8">
        <v>76.83</v>
      </c>
      <c r="M1829" s="8">
        <v>77.400000000000006</v>
      </c>
      <c r="N1829" s="8">
        <v>79.39</v>
      </c>
      <c r="P1829" s="8">
        <v>81.16</v>
      </c>
    </row>
    <row r="1830" spans="1:18" x14ac:dyDescent="0.35">
      <c r="A1830" s="7">
        <v>45294</v>
      </c>
      <c r="K1830" s="8">
        <v>75.180000000000007</v>
      </c>
      <c r="L1830" s="8">
        <v>77.260000000000005</v>
      </c>
      <c r="M1830" s="8">
        <v>77.849999999999994</v>
      </c>
      <c r="N1830" s="8">
        <v>79.53</v>
      </c>
      <c r="P1830" s="8">
        <v>81.96</v>
      </c>
      <c r="R1830" s="26">
        <v>84.6</v>
      </c>
    </row>
    <row r="1831" spans="1:18" x14ac:dyDescent="0.35">
      <c r="A1831" s="7">
        <v>45295</v>
      </c>
      <c r="K1831" s="8">
        <v>74.44</v>
      </c>
      <c r="L1831" s="8">
        <v>76.69</v>
      </c>
      <c r="M1831" s="8">
        <v>76.83</v>
      </c>
      <c r="N1831" s="8">
        <v>78.98</v>
      </c>
      <c r="P1831" s="8">
        <v>81.58</v>
      </c>
      <c r="R1831" s="26">
        <v>83.11</v>
      </c>
    </row>
    <row r="1832" spans="1:18" x14ac:dyDescent="0.35">
      <c r="A1832" s="7">
        <v>45296</v>
      </c>
      <c r="K1832" s="8">
        <v>73.959999999999994</v>
      </c>
      <c r="L1832" s="8">
        <v>76.28</v>
      </c>
      <c r="M1832" s="8">
        <v>76.87</v>
      </c>
      <c r="N1832" s="8">
        <v>78.709999999999994</v>
      </c>
      <c r="P1832" s="8">
        <v>81.099999999999994</v>
      </c>
      <c r="R1832" s="11">
        <f t="shared" ref="R1832:R1838" si="7">R1831+AVERAGE(N1832-N1831,L1832-L1831,P1832-P1831)</f>
        <v>82.723333333333329</v>
      </c>
    </row>
    <row r="1833" spans="1:18" x14ac:dyDescent="0.35">
      <c r="A1833" s="7">
        <v>45297</v>
      </c>
      <c r="K1833" s="8">
        <v>73.959999999999994</v>
      </c>
      <c r="L1833" s="8">
        <v>76.28</v>
      </c>
      <c r="M1833" s="8">
        <v>76.87</v>
      </c>
      <c r="N1833" s="8">
        <v>78.709999999999994</v>
      </c>
      <c r="P1833" s="8">
        <v>81.099999999999994</v>
      </c>
      <c r="R1833" s="11">
        <f t="shared" si="7"/>
        <v>82.723333333333329</v>
      </c>
    </row>
    <row r="1834" spans="1:18" x14ac:dyDescent="0.35">
      <c r="A1834" s="7">
        <v>45298</v>
      </c>
      <c r="K1834" s="8">
        <v>73.959999999999994</v>
      </c>
      <c r="L1834" s="8">
        <v>76.28</v>
      </c>
      <c r="M1834" s="8">
        <v>76.87</v>
      </c>
      <c r="N1834" s="8">
        <v>78.709999999999994</v>
      </c>
      <c r="P1834" s="8">
        <v>81.099999999999994</v>
      </c>
      <c r="R1834" s="11">
        <f t="shared" si="7"/>
        <v>82.723333333333329</v>
      </c>
    </row>
    <row r="1835" spans="1:18" x14ac:dyDescent="0.35">
      <c r="A1835" s="7">
        <v>45299</v>
      </c>
      <c r="K1835" s="8">
        <v>72.59</v>
      </c>
      <c r="L1835" s="8">
        <v>73.66</v>
      </c>
      <c r="M1835" s="8">
        <v>75.459999999999994</v>
      </c>
      <c r="N1835" s="8">
        <v>76.23</v>
      </c>
      <c r="P1835" s="8">
        <v>78.47</v>
      </c>
      <c r="R1835" s="11">
        <f t="shared" si="7"/>
        <v>80.146666666666661</v>
      </c>
    </row>
    <row r="1836" spans="1:18" x14ac:dyDescent="0.35">
      <c r="A1836" s="7">
        <v>45300</v>
      </c>
      <c r="K1836" s="8">
        <v>69.83</v>
      </c>
      <c r="L1836" s="8">
        <v>71.98</v>
      </c>
      <c r="M1836" s="8">
        <v>72.459999999999994</v>
      </c>
      <c r="N1836" s="8">
        <v>74.400000000000006</v>
      </c>
      <c r="P1836" s="8">
        <v>76.989999999999995</v>
      </c>
      <c r="R1836" s="11">
        <f t="shared" si="7"/>
        <v>78.483333333333334</v>
      </c>
    </row>
    <row r="1837" spans="1:18" x14ac:dyDescent="0.35">
      <c r="A1837" s="7">
        <v>45301</v>
      </c>
      <c r="K1837" s="8">
        <v>68.42</v>
      </c>
      <c r="L1837" s="8">
        <v>70.52</v>
      </c>
      <c r="M1837" s="8">
        <v>71.23</v>
      </c>
      <c r="N1837" s="8">
        <v>72.790000000000006</v>
      </c>
      <c r="O1837" s="8">
        <v>73.5</v>
      </c>
      <c r="P1837" s="8">
        <v>74.790000000000006</v>
      </c>
      <c r="R1837" s="11">
        <f>R1836+AVERAGE(N1837-N1836,L1837-L1836,P1837-P1836)</f>
        <v>76.726666666666674</v>
      </c>
    </row>
    <row r="1838" spans="1:18" x14ac:dyDescent="0.35">
      <c r="A1838" s="7">
        <v>45302</v>
      </c>
      <c r="K1838" s="8">
        <v>66.58</v>
      </c>
      <c r="L1838" s="8">
        <v>68.489999999999995</v>
      </c>
      <c r="M1838" s="8">
        <v>69.47</v>
      </c>
      <c r="N1838" s="8">
        <v>70.66</v>
      </c>
      <c r="O1838" s="11">
        <f>O1837+AVERAGE(P1838-P1837,N1838-N1837,R1838-R1837)</f>
        <v>71.381111111111096</v>
      </c>
      <c r="P1838" s="8">
        <v>72.66</v>
      </c>
      <c r="R1838" s="11">
        <f t="shared" si="7"/>
        <v>74.63</v>
      </c>
    </row>
    <row r="1839" spans="1:18" x14ac:dyDescent="0.35">
      <c r="A1839" s="7">
        <v>45303</v>
      </c>
      <c r="K1839" s="8">
        <v>64.760000000000005</v>
      </c>
      <c r="L1839" s="8">
        <v>66.83</v>
      </c>
      <c r="M1839" s="8">
        <v>67.760000000000005</v>
      </c>
      <c r="N1839" s="8">
        <v>69.67</v>
      </c>
      <c r="O1839" s="11">
        <f>O1838+AVERAGE(P1839-P1838,N1839-N1838,R1839-R1838)</f>
        <v>70.314444444444433</v>
      </c>
      <c r="P1839" s="8">
        <v>71.58</v>
      </c>
      <c r="R1839" s="27">
        <v>73.5</v>
      </c>
    </row>
    <row r="1840" spans="1:18" x14ac:dyDescent="0.35">
      <c r="A1840" s="7">
        <v>45304</v>
      </c>
      <c r="K1840" s="8">
        <v>64.760000000000005</v>
      </c>
      <c r="L1840" s="8">
        <v>66.83</v>
      </c>
      <c r="M1840" s="8">
        <v>67.760000000000005</v>
      </c>
      <c r="N1840" s="8">
        <v>69.67</v>
      </c>
      <c r="O1840" s="11">
        <f>O1839+AVERAGE(P1840-P1839,N1840-N1839,R1840-R1839)</f>
        <v>70.314444444444433</v>
      </c>
      <c r="P1840" s="8">
        <v>71.58</v>
      </c>
      <c r="R1840" s="11">
        <f>R1839+AVERAGE(N1840-N1839,L1840-L1839,P1840-P1839)</f>
        <v>73.5</v>
      </c>
    </row>
    <row r="1841" spans="1:18" x14ac:dyDescent="0.35">
      <c r="A1841" s="7">
        <v>45305</v>
      </c>
      <c r="K1841" s="8">
        <v>64.760000000000005</v>
      </c>
      <c r="L1841" s="8">
        <v>66.83</v>
      </c>
      <c r="M1841" s="8">
        <v>67.760000000000005</v>
      </c>
      <c r="N1841" s="8">
        <v>69.67</v>
      </c>
      <c r="O1841" s="11">
        <f>O1840+AVERAGE(P1841-P1840,N1841-N1840,R1841-R1840)</f>
        <v>70.314444444444433</v>
      </c>
      <c r="P1841" s="8">
        <v>71.58</v>
      </c>
      <c r="R1841" s="11">
        <f>R1840+AVERAGE(N1841-N1840,L1841-L1840,P1841-P1840)</f>
        <v>73.5</v>
      </c>
    </row>
    <row r="1842" spans="1:18" x14ac:dyDescent="0.35">
      <c r="A1842" s="7">
        <v>45306</v>
      </c>
      <c r="K1842" s="8">
        <v>63.77</v>
      </c>
      <c r="L1842" s="8">
        <v>65.849999999999994</v>
      </c>
      <c r="M1842" s="8">
        <v>66.5</v>
      </c>
      <c r="N1842" s="8">
        <v>68</v>
      </c>
      <c r="O1842" s="8">
        <v>68.06</v>
      </c>
      <c r="P1842" s="8">
        <v>70.5</v>
      </c>
      <c r="R1842" s="11">
        <f>R1841+AVERAGE(N1842-N1841,L1842-L1841,P1842-P1841)</f>
        <v>72.256666666666661</v>
      </c>
    </row>
    <row r="1843" spans="1:18" x14ac:dyDescent="0.35">
      <c r="A1843" s="7">
        <v>45307</v>
      </c>
      <c r="K1843" s="8">
        <v>63.43</v>
      </c>
      <c r="L1843" s="8">
        <v>65.91</v>
      </c>
      <c r="M1843" s="8">
        <v>66.28</v>
      </c>
      <c r="N1843" s="8">
        <v>68.19</v>
      </c>
      <c r="O1843" s="11">
        <f>O1842+AVERAGE(P1843-P1842,N1843-N1842,R1843-R1842)</f>
        <v>68.084444444444443</v>
      </c>
      <c r="P1843" s="8">
        <v>70.349999999999994</v>
      </c>
      <c r="R1843" s="11">
        <f>R1842+AVERAGE(N1843-N1842,L1843-L1842,P1843-P1842)</f>
        <v>72.289999999999992</v>
      </c>
    </row>
    <row r="1844" spans="1:18" x14ac:dyDescent="0.35">
      <c r="A1844" s="7">
        <v>45308</v>
      </c>
      <c r="K1844" s="8">
        <v>62.24</v>
      </c>
      <c r="L1844" s="8">
        <v>64.38</v>
      </c>
      <c r="M1844" s="8">
        <v>64.75</v>
      </c>
      <c r="N1844" s="8">
        <v>66.650000000000006</v>
      </c>
      <c r="O1844" s="8">
        <v>67.16</v>
      </c>
      <c r="P1844" s="8">
        <v>68.239999999999995</v>
      </c>
      <c r="R1844" s="11">
        <f>R1843+AVERAGE(N1844-N1843,L1844-L1843,P1844-P1843)</f>
        <v>70.563333333333333</v>
      </c>
    </row>
    <row r="1845" spans="1:18" x14ac:dyDescent="0.35">
      <c r="A1845" s="7">
        <v>45309</v>
      </c>
      <c r="K1845" s="8">
        <v>61.29</v>
      </c>
      <c r="L1845" s="8">
        <v>63.26</v>
      </c>
      <c r="M1845" s="8">
        <v>63.74</v>
      </c>
      <c r="N1845" s="8">
        <v>65.39</v>
      </c>
      <c r="O1845" s="11">
        <f>O1844+AVERAGE(P1845-P1844,N1845-N1844,R1845-R1844)</f>
        <v>66.285555555555547</v>
      </c>
      <c r="P1845" s="8">
        <v>67.69</v>
      </c>
      <c r="R1845" s="8">
        <v>69.75</v>
      </c>
    </row>
    <row r="1846" spans="1:18" x14ac:dyDescent="0.35">
      <c r="A1846" s="7">
        <v>45310</v>
      </c>
      <c r="K1846" s="8">
        <v>61.72</v>
      </c>
      <c r="L1846" s="8">
        <v>63.57</v>
      </c>
      <c r="M1846" s="8">
        <v>64.209999999999994</v>
      </c>
      <c r="N1846" s="8">
        <v>65.709999999999994</v>
      </c>
      <c r="O1846" s="11">
        <f>O1845+AVERAGE(P1846-P1845,N1846-N1845,R1846-R1845)</f>
        <v>66.968888888888884</v>
      </c>
      <c r="P1846" s="8">
        <v>68.08</v>
      </c>
      <c r="R1846" s="8">
        <v>71.09</v>
      </c>
    </row>
    <row r="1847" spans="1:18" x14ac:dyDescent="0.35">
      <c r="A1847" s="7">
        <v>45311</v>
      </c>
      <c r="K1847" s="8">
        <v>61.72</v>
      </c>
      <c r="L1847" s="8">
        <v>63.57</v>
      </c>
      <c r="M1847" s="8">
        <v>64.209999999999994</v>
      </c>
      <c r="N1847" s="8">
        <v>65.709999999999994</v>
      </c>
      <c r="O1847" s="11">
        <f>O1846+AVERAGE(P1847-P1846,N1847-N1846,R1847-R1846)</f>
        <v>66.968888888888884</v>
      </c>
      <c r="P1847" s="8">
        <v>68.08</v>
      </c>
      <c r="R1847" s="8">
        <v>71.09</v>
      </c>
    </row>
    <row r="1848" spans="1:18" x14ac:dyDescent="0.35">
      <c r="A1848" s="7">
        <v>45312</v>
      </c>
      <c r="K1848" s="8">
        <v>61.72</v>
      </c>
      <c r="L1848" s="8">
        <v>63.57</v>
      </c>
      <c r="M1848" s="8">
        <v>64.209999999999994</v>
      </c>
      <c r="N1848" s="8">
        <v>65.709999999999994</v>
      </c>
      <c r="O1848" s="11">
        <f>O1847+AVERAGE(P1848-P1847,N1848-N1847,R1848-R1847)</f>
        <v>66.968888888888884</v>
      </c>
      <c r="P1848" s="8">
        <v>68.08</v>
      </c>
      <c r="R1848" s="8">
        <v>71.09</v>
      </c>
    </row>
    <row r="1849" spans="1:18" x14ac:dyDescent="0.35">
      <c r="A1849" s="7">
        <v>45313</v>
      </c>
      <c r="K1849" s="8">
        <v>59.68</v>
      </c>
      <c r="L1849" s="8">
        <v>61.74</v>
      </c>
      <c r="M1849" s="8">
        <v>62.37</v>
      </c>
      <c r="N1849" s="8">
        <v>64.099999999999994</v>
      </c>
      <c r="O1849" s="8">
        <v>64.62</v>
      </c>
      <c r="P1849" s="8">
        <v>65.84</v>
      </c>
      <c r="R1849" s="8">
        <v>67.849999999999994</v>
      </c>
    </row>
    <row r="1850" spans="1:18" x14ac:dyDescent="0.35">
      <c r="A1850" s="7">
        <v>45314</v>
      </c>
      <c r="K1850" s="8">
        <v>60.68</v>
      </c>
      <c r="L1850" s="8">
        <v>62.71</v>
      </c>
      <c r="M1850" s="11">
        <f>M1849+AVERAGE(N1850-N1849,L1850-L1849,P1850-P1849)</f>
        <v>63.496666666666663</v>
      </c>
      <c r="N1850" s="8">
        <v>64.989999999999995</v>
      </c>
      <c r="O1850" s="11">
        <f>O1849+AVERAGE(P1850-P1849,N1850-N1849,R1850-R1849)</f>
        <v>65.798888888888897</v>
      </c>
      <c r="P1850" s="8">
        <v>67.36</v>
      </c>
      <c r="R1850" s="11">
        <f>R1849+AVERAGE(N1850-N1849,L1850-L1849,P1850-P1849)</f>
        <v>68.976666666666659</v>
      </c>
    </row>
    <row r="1851" spans="1:18" x14ac:dyDescent="0.35">
      <c r="A1851" s="7">
        <v>45315</v>
      </c>
      <c r="K1851" s="8">
        <v>62.97</v>
      </c>
      <c r="L1851" s="8">
        <v>64.87</v>
      </c>
      <c r="M1851" s="8">
        <v>65.599999999999994</v>
      </c>
      <c r="N1851" s="8">
        <v>67.239999999999995</v>
      </c>
      <c r="O1851" s="11">
        <f t="shared" ref="O1851:O1866" si="8">O1850+AVERAGE(P1851-P1850,N1851-N1850,R1851-R1850)</f>
        <v>67.963333333333352</v>
      </c>
      <c r="P1851" s="8">
        <v>69.290000000000006</v>
      </c>
      <c r="R1851" s="8">
        <v>71.290000000000006</v>
      </c>
    </row>
    <row r="1852" spans="1:18" x14ac:dyDescent="0.35">
      <c r="A1852" s="7">
        <v>45316</v>
      </c>
      <c r="K1852" s="8">
        <v>62.13</v>
      </c>
      <c r="L1852" s="8">
        <v>64.069999999999993</v>
      </c>
      <c r="M1852" s="8">
        <v>64.22</v>
      </c>
      <c r="N1852" s="8">
        <v>66.34</v>
      </c>
      <c r="O1852" s="11">
        <f t="shared" si="8"/>
        <v>66.910000000000011</v>
      </c>
      <c r="P1852" s="8">
        <v>68.11</v>
      </c>
      <c r="R1852" s="8">
        <v>70.209999999999994</v>
      </c>
    </row>
    <row r="1853" spans="1:18" x14ac:dyDescent="0.35">
      <c r="A1853" s="7">
        <v>45317</v>
      </c>
      <c r="K1853" s="8">
        <v>61.64</v>
      </c>
      <c r="L1853" s="8">
        <v>63.47</v>
      </c>
      <c r="M1853" s="8">
        <v>63.82</v>
      </c>
      <c r="N1853" s="8">
        <v>65.67</v>
      </c>
      <c r="O1853" s="11">
        <f t="shared" si="8"/>
        <v>66.726666666666674</v>
      </c>
      <c r="P1853" s="8">
        <v>67.69</v>
      </c>
      <c r="R1853" s="8">
        <v>70.75</v>
      </c>
    </row>
    <row r="1854" spans="1:18" x14ac:dyDescent="0.35">
      <c r="A1854" s="7">
        <v>45318</v>
      </c>
      <c r="K1854" s="8">
        <v>61.64</v>
      </c>
      <c r="L1854" s="8">
        <v>63.47</v>
      </c>
      <c r="M1854" s="8">
        <v>63.82</v>
      </c>
      <c r="N1854" s="8">
        <v>65.67</v>
      </c>
      <c r="O1854" s="11">
        <f t="shared" si="8"/>
        <v>66.726666666666674</v>
      </c>
      <c r="P1854" s="8">
        <v>67.69</v>
      </c>
      <c r="R1854" s="8">
        <v>70.75</v>
      </c>
    </row>
    <row r="1855" spans="1:18" x14ac:dyDescent="0.35">
      <c r="A1855" s="7">
        <v>45319</v>
      </c>
      <c r="K1855" s="8">
        <v>61.64</v>
      </c>
      <c r="L1855" s="8">
        <v>63.47</v>
      </c>
      <c r="M1855" s="8">
        <v>63.82</v>
      </c>
      <c r="N1855" s="8">
        <v>65.67</v>
      </c>
      <c r="O1855" s="11">
        <f t="shared" si="8"/>
        <v>66.726666666666674</v>
      </c>
      <c r="P1855" s="8">
        <v>67.69</v>
      </c>
      <c r="R1855" s="8">
        <v>70.75</v>
      </c>
    </row>
    <row r="1856" spans="1:18" x14ac:dyDescent="0.35">
      <c r="A1856" s="7">
        <v>45320</v>
      </c>
      <c r="K1856" s="8">
        <v>60.66</v>
      </c>
      <c r="L1856" s="8">
        <v>62.98</v>
      </c>
      <c r="M1856" s="8">
        <v>63.47</v>
      </c>
      <c r="N1856" s="8">
        <v>64.930000000000007</v>
      </c>
      <c r="O1856" s="11">
        <f t="shared" si="8"/>
        <v>65.836666666666673</v>
      </c>
      <c r="P1856" s="8">
        <v>67.58</v>
      </c>
      <c r="R1856" s="8">
        <v>68.930000000000007</v>
      </c>
    </row>
    <row r="1857" spans="1:18" x14ac:dyDescent="0.35">
      <c r="A1857" s="7">
        <v>45321</v>
      </c>
      <c r="K1857" s="8">
        <v>60.94</v>
      </c>
      <c r="L1857" s="8">
        <v>62.46</v>
      </c>
      <c r="M1857" s="8">
        <v>62.81</v>
      </c>
      <c r="N1857" s="8">
        <v>64.400000000000006</v>
      </c>
      <c r="O1857" s="11">
        <f t="shared" si="8"/>
        <v>65.121111111111119</v>
      </c>
      <c r="P1857" s="8">
        <v>66.63</v>
      </c>
      <c r="R1857" s="11">
        <f>R1856+AVERAGE(N1857-N1856,L1857-L1856,P1857-P1856)</f>
        <v>68.263333333333335</v>
      </c>
    </row>
    <row r="1858" spans="1:18" x14ac:dyDescent="0.35">
      <c r="A1858" s="7">
        <v>45322</v>
      </c>
      <c r="K1858" s="8">
        <v>62.12</v>
      </c>
      <c r="L1858" s="8">
        <v>64.040000000000006</v>
      </c>
      <c r="M1858" s="8">
        <v>64.23</v>
      </c>
      <c r="N1858" s="8">
        <v>66.150000000000006</v>
      </c>
      <c r="O1858" s="11">
        <f t="shared" si="8"/>
        <v>67.250000000000014</v>
      </c>
      <c r="P1858" s="8">
        <v>68.63</v>
      </c>
      <c r="R1858" s="8">
        <v>70.900000000000006</v>
      </c>
    </row>
    <row r="1859" spans="1:18" x14ac:dyDescent="0.35">
      <c r="A1859" s="7">
        <v>45323</v>
      </c>
      <c r="K1859" s="8">
        <v>61.29</v>
      </c>
      <c r="L1859" s="8">
        <v>63.08</v>
      </c>
      <c r="M1859" s="8">
        <v>63.25</v>
      </c>
      <c r="N1859" s="8">
        <v>65.16</v>
      </c>
      <c r="O1859" s="11">
        <f t="shared" si="8"/>
        <v>66.106666666666683</v>
      </c>
      <c r="P1859" s="8">
        <v>66.94</v>
      </c>
      <c r="R1859" s="8">
        <v>70.150000000000006</v>
      </c>
    </row>
    <row r="1860" spans="1:18" x14ac:dyDescent="0.35">
      <c r="A1860" s="7">
        <v>45324</v>
      </c>
      <c r="K1860" s="8">
        <v>61.68</v>
      </c>
      <c r="L1860" s="8">
        <v>63.39</v>
      </c>
      <c r="M1860" s="8">
        <v>64.39</v>
      </c>
      <c r="N1860" s="8">
        <v>65.63</v>
      </c>
      <c r="O1860" s="11">
        <f t="shared" si="8"/>
        <v>66.852222222222238</v>
      </c>
      <c r="P1860" s="8">
        <v>68.069999999999993</v>
      </c>
      <c r="R1860" s="11">
        <f>R1859+AVERAGE(N1860-N1859,L1860-L1859,P1860-P1859)</f>
        <v>70.786666666666676</v>
      </c>
    </row>
    <row r="1861" spans="1:18" x14ac:dyDescent="0.35">
      <c r="A1861" s="7">
        <v>45325</v>
      </c>
      <c r="K1861" s="8">
        <v>61.68</v>
      </c>
      <c r="L1861" s="8">
        <v>63.39</v>
      </c>
      <c r="M1861" s="8">
        <v>64.39</v>
      </c>
      <c r="N1861" s="8">
        <v>65.63</v>
      </c>
      <c r="O1861" s="11">
        <f t="shared" si="8"/>
        <v>66.852222222222238</v>
      </c>
      <c r="P1861" s="8">
        <v>68.069999999999993</v>
      </c>
      <c r="R1861" s="11">
        <f>R1860+AVERAGE(N1861-N1860,L1861-L1860,P1861-P1860)</f>
        <v>70.786666666666676</v>
      </c>
    </row>
    <row r="1862" spans="1:18" x14ac:dyDescent="0.35">
      <c r="A1862" s="7">
        <v>45326</v>
      </c>
      <c r="K1862" s="8">
        <v>61.68</v>
      </c>
      <c r="L1862" s="8">
        <v>63.39</v>
      </c>
      <c r="M1862" s="8">
        <v>64.39</v>
      </c>
      <c r="N1862" s="8">
        <v>65.63</v>
      </c>
      <c r="O1862" s="11">
        <f t="shared" si="8"/>
        <v>66.852222222222238</v>
      </c>
      <c r="P1862" s="8">
        <v>68.069999999999993</v>
      </c>
      <c r="R1862" s="11">
        <f>R1861+AVERAGE(N1862-N1861,L1862-L1861,P1862-P1861)</f>
        <v>70.786666666666676</v>
      </c>
    </row>
    <row r="1863" spans="1:18" x14ac:dyDescent="0.35">
      <c r="A1863" s="7">
        <v>45327</v>
      </c>
      <c r="K1863" s="8">
        <v>60.77</v>
      </c>
      <c r="L1863" s="8">
        <v>62.9</v>
      </c>
      <c r="M1863" s="8">
        <v>63.17</v>
      </c>
      <c r="N1863" s="8">
        <v>65.17</v>
      </c>
      <c r="O1863" s="11">
        <f t="shared" si="8"/>
        <v>65.913333333333355</v>
      </c>
      <c r="P1863" s="8">
        <v>67.209999999999994</v>
      </c>
      <c r="R1863" s="8">
        <v>69.290000000000006</v>
      </c>
    </row>
    <row r="1864" spans="1:18" x14ac:dyDescent="0.35">
      <c r="A1864" s="7">
        <v>45328</v>
      </c>
      <c r="K1864" s="8">
        <v>61.22</v>
      </c>
      <c r="L1864" s="8">
        <v>63.05</v>
      </c>
      <c r="M1864" s="8">
        <v>63.9</v>
      </c>
      <c r="N1864" s="8">
        <v>65.41</v>
      </c>
      <c r="O1864" s="11">
        <f t="shared" si="8"/>
        <v>66.560000000000016</v>
      </c>
      <c r="P1864" s="8">
        <v>67.92</v>
      </c>
      <c r="R1864" s="8">
        <v>70.28</v>
      </c>
    </row>
    <row r="1865" spans="1:18" x14ac:dyDescent="0.35">
      <c r="A1865" s="7">
        <v>45329</v>
      </c>
      <c r="K1865" s="8">
        <v>61.1</v>
      </c>
      <c r="L1865" s="8">
        <v>62.84</v>
      </c>
      <c r="M1865" s="8">
        <v>63.62</v>
      </c>
      <c r="N1865" s="8">
        <v>65.069999999999993</v>
      </c>
      <c r="O1865" s="11">
        <f t="shared" si="8"/>
        <v>66.13000000000001</v>
      </c>
      <c r="P1865" s="8">
        <v>67.41</v>
      </c>
      <c r="R1865" s="8">
        <v>69.84</v>
      </c>
    </row>
    <row r="1866" spans="1:18" x14ac:dyDescent="0.35">
      <c r="A1866" s="7">
        <v>45330</v>
      </c>
      <c r="K1866" s="8">
        <v>59.5</v>
      </c>
      <c r="L1866" s="8">
        <v>61.22</v>
      </c>
      <c r="M1866" s="8">
        <v>61.63</v>
      </c>
      <c r="N1866" s="8">
        <v>63.42</v>
      </c>
      <c r="O1866" s="11">
        <f t="shared" si="8"/>
        <v>64.366666666666674</v>
      </c>
      <c r="P1866" s="8">
        <v>65.790000000000006</v>
      </c>
      <c r="R1866" s="8">
        <v>67.819999999999993</v>
      </c>
    </row>
    <row r="1867" spans="1:18" x14ac:dyDescent="0.35">
      <c r="A1867" s="7">
        <v>45331</v>
      </c>
      <c r="K1867" s="8">
        <v>57.38</v>
      </c>
      <c r="L1867" s="8">
        <v>59.26</v>
      </c>
      <c r="M1867" s="8">
        <v>59.5</v>
      </c>
      <c r="N1867" s="8">
        <v>61.23</v>
      </c>
      <c r="O1867" s="8">
        <v>61.15</v>
      </c>
      <c r="P1867" s="8">
        <v>63.55</v>
      </c>
      <c r="R1867" s="8">
        <v>65.88</v>
      </c>
    </row>
    <row r="1868" spans="1:18" x14ac:dyDescent="0.35">
      <c r="A1868" s="7">
        <v>45332</v>
      </c>
      <c r="K1868" s="8">
        <v>57.38</v>
      </c>
      <c r="L1868" s="8">
        <v>59.26</v>
      </c>
      <c r="M1868" s="8">
        <v>59.5</v>
      </c>
      <c r="N1868" s="8">
        <v>61.23</v>
      </c>
      <c r="O1868" s="8">
        <v>61.15</v>
      </c>
      <c r="P1868" s="8">
        <v>63.55</v>
      </c>
      <c r="R1868" s="8">
        <v>65.88</v>
      </c>
    </row>
    <row r="1869" spans="1:18" x14ac:dyDescent="0.35">
      <c r="A1869" s="7">
        <v>45333</v>
      </c>
      <c r="K1869" s="8">
        <v>57.38</v>
      </c>
      <c r="L1869" s="8">
        <v>59.26</v>
      </c>
      <c r="M1869" s="8">
        <v>59.5</v>
      </c>
      <c r="N1869" s="8">
        <v>61.23</v>
      </c>
      <c r="O1869" s="8">
        <v>61.15</v>
      </c>
      <c r="P1869" s="8">
        <v>63.55</v>
      </c>
      <c r="R1869" s="8">
        <v>65.88</v>
      </c>
    </row>
    <row r="1870" spans="1:18" x14ac:dyDescent="0.35">
      <c r="A1870" s="7">
        <v>45334</v>
      </c>
      <c r="K1870" s="8">
        <v>55.83</v>
      </c>
      <c r="L1870" s="8">
        <v>57.57</v>
      </c>
      <c r="M1870" s="8">
        <v>58.17</v>
      </c>
      <c r="N1870" s="8">
        <v>59.93</v>
      </c>
      <c r="O1870" s="8">
        <v>59.87</v>
      </c>
      <c r="P1870" s="8">
        <v>61.84</v>
      </c>
      <c r="R1870" s="8">
        <v>64.62</v>
      </c>
    </row>
    <row r="1871" spans="1:18" x14ac:dyDescent="0.35">
      <c r="A1871" s="7">
        <v>45335</v>
      </c>
      <c r="K1871" s="8">
        <v>54.46</v>
      </c>
      <c r="L1871" s="8">
        <v>56.49</v>
      </c>
      <c r="M1871" s="8">
        <v>56.67</v>
      </c>
      <c r="N1871" s="8">
        <v>58.39</v>
      </c>
      <c r="O1871" s="8">
        <v>58.65</v>
      </c>
      <c r="P1871" s="8">
        <v>60.46</v>
      </c>
      <c r="R1871" s="8">
        <v>62.29</v>
      </c>
    </row>
    <row r="1872" spans="1:18" x14ac:dyDescent="0.35">
      <c r="A1872" s="7">
        <v>45336</v>
      </c>
      <c r="K1872" s="8">
        <v>54.87</v>
      </c>
      <c r="L1872" s="8">
        <v>56.3</v>
      </c>
      <c r="M1872" s="8">
        <v>56.52</v>
      </c>
      <c r="N1872" s="8">
        <v>58.35</v>
      </c>
      <c r="O1872" s="8">
        <v>58.02</v>
      </c>
      <c r="P1872" s="8">
        <v>60.97</v>
      </c>
      <c r="R1872" s="8">
        <v>63.44</v>
      </c>
    </row>
    <row r="1873" spans="1:18" x14ac:dyDescent="0.35">
      <c r="A1873" s="7">
        <v>45337</v>
      </c>
      <c r="K1873" s="8">
        <v>55.8</v>
      </c>
      <c r="L1873" s="8">
        <v>57.88</v>
      </c>
      <c r="M1873" s="8">
        <v>57.89</v>
      </c>
      <c r="N1873" s="8">
        <v>60.16</v>
      </c>
      <c r="O1873" s="11">
        <f>O1872+AVERAGE(P1873-P1872,N1873-N1872,R1873-R1872)</f>
        <v>59.013333333333335</v>
      </c>
      <c r="P1873" s="8">
        <v>61.85</v>
      </c>
      <c r="R1873" s="8">
        <v>63.73</v>
      </c>
    </row>
    <row r="1874" spans="1:18" x14ac:dyDescent="0.35">
      <c r="A1874" s="7">
        <v>45338</v>
      </c>
      <c r="K1874" s="8">
        <v>55.23</v>
      </c>
      <c r="L1874" s="8">
        <v>56.96</v>
      </c>
      <c r="M1874" s="8">
        <v>57.37</v>
      </c>
      <c r="N1874" s="8">
        <v>59.02</v>
      </c>
      <c r="O1874" s="8">
        <v>60.86</v>
      </c>
      <c r="P1874" s="8">
        <v>61</v>
      </c>
      <c r="R1874" s="8">
        <v>63.12</v>
      </c>
    </row>
    <row r="1875" spans="1:18" x14ac:dyDescent="0.35">
      <c r="A1875" s="7">
        <v>45339</v>
      </c>
      <c r="K1875" s="8">
        <v>55.23</v>
      </c>
      <c r="L1875" s="8">
        <v>56.96</v>
      </c>
      <c r="M1875" s="8">
        <v>57.37</v>
      </c>
      <c r="N1875" s="8">
        <v>59.02</v>
      </c>
      <c r="O1875" s="8">
        <v>60.86</v>
      </c>
      <c r="P1875" s="8">
        <v>61</v>
      </c>
      <c r="R1875" s="8">
        <v>63.12</v>
      </c>
    </row>
    <row r="1876" spans="1:18" x14ac:dyDescent="0.35">
      <c r="A1876" s="7">
        <v>45340</v>
      </c>
      <c r="K1876" s="8">
        <v>55.23</v>
      </c>
      <c r="L1876" s="8">
        <v>56.96</v>
      </c>
      <c r="M1876" s="8">
        <v>57.37</v>
      </c>
      <c r="N1876" s="8">
        <v>59.02</v>
      </c>
      <c r="O1876" s="8">
        <v>60.86</v>
      </c>
      <c r="P1876" s="8">
        <v>61</v>
      </c>
      <c r="R1876" s="8">
        <v>63.12</v>
      </c>
    </row>
    <row r="1877" spans="1:18" x14ac:dyDescent="0.35">
      <c r="A1877" s="7">
        <v>45341</v>
      </c>
      <c r="K1877" s="8">
        <v>52.98</v>
      </c>
      <c r="L1877" s="8">
        <v>54.25</v>
      </c>
      <c r="M1877" s="8">
        <v>54.89</v>
      </c>
      <c r="N1877" s="8">
        <v>56.31</v>
      </c>
      <c r="O1877" s="8">
        <v>58</v>
      </c>
      <c r="P1877" s="8">
        <v>58.26</v>
      </c>
      <c r="R1877" s="8">
        <v>59.56</v>
      </c>
    </row>
    <row r="1878" spans="1:18" x14ac:dyDescent="0.35">
      <c r="A1878" s="7">
        <v>45342</v>
      </c>
      <c r="K1878" s="8">
        <v>52.51</v>
      </c>
      <c r="L1878" s="8">
        <v>53.63</v>
      </c>
      <c r="M1878" s="8">
        <v>52.82</v>
      </c>
      <c r="N1878" s="8">
        <v>55.69</v>
      </c>
      <c r="O1878" s="11">
        <f>O1877+AVERAGE(P1878-P1877,N1878-N1877,R1878-R1877)</f>
        <v>57.89</v>
      </c>
      <c r="P1878" s="8">
        <v>57.89</v>
      </c>
      <c r="R1878" s="8">
        <v>60.22</v>
      </c>
    </row>
    <row r="1879" spans="1:18" x14ac:dyDescent="0.35">
      <c r="A1879" s="7">
        <v>45343</v>
      </c>
      <c r="K1879" s="8">
        <v>51.98</v>
      </c>
      <c r="L1879" s="8">
        <v>54.07</v>
      </c>
      <c r="M1879" s="8">
        <v>54.17</v>
      </c>
      <c r="N1879" s="8">
        <v>55.95</v>
      </c>
      <c r="O1879" s="11">
        <f>O1878+AVERAGE(P1879-P1878,N1879-N1878,R1879-R1878)</f>
        <v>58.006666666666668</v>
      </c>
      <c r="P1879" s="8">
        <v>57.64</v>
      </c>
      <c r="R1879" s="8">
        <v>60.56</v>
      </c>
    </row>
    <row r="1880" spans="1:18" x14ac:dyDescent="0.35">
      <c r="A1880" s="7">
        <v>45344</v>
      </c>
      <c r="K1880" s="8">
        <v>51.31</v>
      </c>
      <c r="L1880" s="8">
        <v>53.15</v>
      </c>
      <c r="M1880" s="8">
        <v>53.99</v>
      </c>
      <c r="N1880" s="8">
        <v>55.33</v>
      </c>
      <c r="O1880" s="8">
        <v>56</v>
      </c>
      <c r="P1880" s="8">
        <v>57.08</v>
      </c>
      <c r="R1880" s="8">
        <v>59.47</v>
      </c>
    </row>
    <row r="1881" spans="1:18" x14ac:dyDescent="0.35">
      <c r="A1881" s="7">
        <v>45345</v>
      </c>
      <c r="K1881" s="8">
        <v>50.35</v>
      </c>
      <c r="L1881" s="8">
        <v>51.82</v>
      </c>
      <c r="M1881" s="8">
        <v>52.2</v>
      </c>
      <c r="N1881" s="8">
        <v>53.64</v>
      </c>
      <c r="O1881" s="11">
        <f t="shared" ref="O1881:O1892" si="9">O1880+AVERAGE(P1881-P1880,N1881-N1880,R1881-R1880)</f>
        <v>54.243333333333332</v>
      </c>
      <c r="P1881" s="8">
        <v>55.67</v>
      </c>
      <c r="R1881" s="8">
        <v>57.3</v>
      </c>
    </row>
    <row r="1882" spans="1:18" x14ac:dyDescent="0.35">
      <c r="A1882" s="7">
        <v>45346</v>
      </c>
      <c r="K1882" s="8">
        <v>50.35</v>
      </c>
      <c r="L1882" s="8">
        <v>51.82</v>
      </c>
      <c r="M1882" s="8">
        <v>52.2</v>
      </c>
      <c r="N1882" s="8">
        <v>53.64</v>
      </c>
      <c r="O1882" s="11">
        <f t="shared" si="9"/>
        <v>54.243333333333332</v>
      </c>
      <c r="P1882" s="8">
        <v>55.67</v>
      </c>
      <c r="R1882" s="8">
        <v>57.3</v>
      </c>
    </row>
    <row r="1883" spans="1:18" x14ac:dyDescent="0.35">
      <c r="A1883" s="7">
        <v>45347</v>
      </c>
      <c r="K1883" s="8">
        <v>50.35</v>
      </c>
      <c r="L1883" s="8">
        <v>51.82</v>
      </c>
      <c r="M1883" s="8">
        <v>52.2</v>
      </c>
      <c r="N1883" s="8">
        <v>53.64</v>
      </c>
      <c r="O1883" s="11">
        <f t="shared" si="9"/>
        <v>54.243333333333332</v>
      </c>
      <c r="P1883" s="8">
        <v>55.67</v>
      </c>
      <c r="R1883" s="8">
        <v>57.3</v>
      </c>
    </row>
    <row r="1884" spans="1:18" x14ac:dyDescent="0.35">
      <c r="A1884" s="7">
        <v>45348</v>
      </c>
      <c r="K1884" s="8">
        <v>51.75</v>
      </c>
      <c r="L1884" s="8">
        <v>53.26</v>
      </c>
      <c r="M1884" s="8">
        <v>53.43</v>
      </c>
      <c r="N1884" s="8">
        <v>55.17</v>
      </c>
      <c r="O1884" s="11">
        <f t="shared" si="9"/>
        <v>55.754444444444445</v>
      </c>
      <c r="P1884" s="8">
        <v>57.18</v>
      </c>
      <c r="R1884" s="11">
        <f>R1883+AVERAGE(N1884-N1883,L1884-L1883,P1884-P1883)</f>
        <v>58.793333333333329</v>
      </c>
    </row>
    <row r="1885" spans="1:18" x14ac:dyDescent="0.35">
      <c r="A1885" s="7">
        <v>45349</v>
      </c>
      <c r="K1885" s="8">
        <v>52.67</v>
      </c>
      <c r="L1885" s="8">
        <v>54.04</v>
      </c>
      <c r="M1885" s="8">
        <v>53.93</v>
      </c>
      <c r="N1885" s="8">
        <v>55.97</v>
      </c>
      <c r="O1885" s="11">
        <f t="shared" si="9"/>
        <v>56.376666666666665</v>
      </c>
      <c r="P1885" s="8">
        <v>57.5</v>
      </c>
      <c r="R1885" s="8">
        <v>59.54</v>
      </c>
    </row>
    <row r="1886" spans="1:18" x14ac:dyDescent="0.35">
      <c r="A1886" s="7">
        <v>45350</v>
      </c>
      <c r="K1886" s="8">
        <v>55.61</v>
      </c>
      <c r="L1886" s="8">
        <v>57.32</v>
      </c>
      <c r="M1886" s="8">
        <v>59.06</v>
      </c>
      <c r="N1886" s="8">
        <v>59.65</v>
      </c>
      <c r="O1886" s="11">
        <f t="shared" si="9"/>
        <v>60.573333333333331</v>
      </c>
      <c r="P1886" s="8">
        <v>61.92</v>
      </c>
      <c r="R1886" s="8">
        <v>64.03</v>
      </c>
    </row>
    <row r="1887" spans="1:18" x14ac:dyDescent="0.35">
      <c r="A1887" s="7">
        <v>45351</v>
      </c>
      <c r="K1887" s="8">
        <v>54.75</v>
      </c>
      <c r="L1887" s="8">
        <v>56.34</v>
      </c>
      <c r="M1887" s="8">
        <v>57.14</v>
      </c>
      <c r="N1887" s="8">
        <v>58.3</v>
      </c>
      <c r="O1887" s="11">
        <f t="shared" si="9"/>
        <v>59.236666666666665</v>
      </c>
      <c r="P1887" s="8">
        <v>60.35</v>
      </c>
      <c r="R1887" s="8">
        <v>62.94</v>
      </c>
    </row>
    <row r="1888" spans="1:18" x14ac:dyDescent="0.35">
      <c r="A1888" s="7">
        <v>45352</v>
      </c>
      <c r="K1888" s="8">
        <v>53.93</v>
      </c>
      <c r="L1888" s="8">
        <v>55.79</v>
      </c>
      <c r="M1888" s="8">
        <v>56.74</v>
      </c>
      <c r="N1888" s="8">
        <v>57.89</v>
      </c>
      <c r="O1888" s="11">
        <f t="shared" si="9"/>
        <v>58.628888888888888</v>
      </c>
      <c r="P1888" s="8">
        <v>59.53</v>
      </c>
      <c r="R1888" s="11">
        <f>R1887+AVERAGE(N1888-N1887,L1888-L1887,P1888-P1887)</f>
        <v>62.346666666666664</v>
      </c>
    </row>
    <row r="1889" spans="1:18" x14ac:dyDescent="0.35">
      <c r="A1889" s="7">
        <v>45353</v>
      </c>
      <c r="K1889" s="8">
        <v>53.93</v>
      </c>
      <c r="L1889" s="8">
        <v>55.79</v>
      </c>
      <c r="M1889" s="8">
        <v>56.74</v>
      </c>
      <c r="N1889" s="8">
        <v>57.89</v>
      </c>
      <c r="O1889" s="11">
        <f t="shared" si="9"/>
        <v>58.628888888888888</v>
      </c>
      <c r="P1889" s="8">
        <v>59.53</v>
      </c>
      <c r="R1889" s="11">
        <f>R1888+AVERAGE(N1889-N1888,L1889-L1888,P1889-P1888)</f>
        <v>62.346666666666664</v>
      </c>
    </row>
    <row r="1890" spans="1:18" x14ac:dyDescent="0.35">
      <c r="A1890" s="7">
        <v>45354</v>
      </c>
      <c r="K1890" s="8">
        <v>53.93</v>
      </c>
      <c r="L1890" s="8">
        <v>55.79</v>
      </c>
      <c r="M1890" s="8">
        <v>56.74</v>
      </c>
      <c r="N1890" s="8">
        <v>57.89</v>
      </c>
      <c r="O1890" s="11">
        <f t="shared" si="9"/>
        <v>58.628888888888888</v>
      </c>
      <c r="P1890" s="8">
        <v>59.53</v>
      </c>
      <c r="R1890" s="11">
        <f>R1889+AVERAGE(N1890-N1889,L1890-L1889,P1890-P1889)</f>
        <v>62.346666666666664</v>
      </c>
    </row>
    <row r="1891" spans="1:18" x14ac:dyDescent="0.35">
      <c r="A1891" s="7">
        <v>45355</v>
      </c>
      <c r="K1891" s="8">
        <v>53.77</v>
      </c>
      <c r="L1891" s="8">
        <v>55.26</v>
      </c>
      <c r="M1891" s="8">
        <v>55</v>
      </c>
      <c r="N1891" s="8">
        <v>57.08</v>
      </c>
      <c r="O1891" s="11">
        <f t="shared" si="9"/>
        <v>58.014444444444443</v>
      </c>
      <c r="P1891" s="8">
        <v>59.09</v>
      </c>
      <c r="R1891" s="11">
        <f>R1890+AVERAGE(N1891-N1890,L1891-L1890,P1891-P1890)</f>
        <v>61.75333333333333</v>
      </c>
    </row>
    <row r="1892" spans="1:18" x14ac:dyDescent="0.35">
      <c r="A1892" s="7">
        <v>45356</v>
      </c>
      <c r="K1892" s="8">
        <v>57.98</v>
      </c>
      <c r="L1892" s="8">
        <v>59.96</v>
      </c>
      <c r="M1892" s="8">
        <v>61.16</v>
      </c>
      <c r="N1892" s="8">
        <v>62.32</v>
      </c>
      <c r="O1892" s="11">
        <f t="shared" si="9"/>
        <v>63.323333333333331</v>
      </c>
      <c r="P1892" s="8">
        <v>64.56</v>
      </c>
      <c r="R1892" s="8">
        <v>66.97</v>
      </c>
    </row>
    <row r="1893" spans="1:18" x14ac:dyDescent="0.35">
      <c r="A1893" s="7">
        <v>45357</v>
      </c>
      <c r="K1893" s="8">
        <v>59.63</v>
      </c>
      <c r="L1893" s="8">
        <v>60.65</v>
      </c>
      <c r="M1893" s="8">
        <v>61.4</v>
      </c>
      <c r="N1893" s="8">
        <v>63.01</v>
      </c>
      <c r="O1893" s="8">
        <v>64.53</v>
      </c>
      <c r="P1893" s="8">
        <v>64.72</v>
      </c>
      <c r="R1893" s="8">
        <v>66.87</v>
      </c>
    </row>
    <row r="1894" spans="1:18" x14ac:dyDescent="0.35">
      <c r="A1894" s="7">
        <v>45358</v>
      </c>
      <c r="K1894" s="26">
        <v>57.32</v>
      </c>
      <c r="L1894" s="8">
        <v>59.52</v>
      </c>
      <c r="M1894" s="8">
        <v>60.26</v>
      </c>
      <c r="N1894" s="8">
        <v>61.84</v>
      </c>
      <c r="O1894" s="8">
        <v>62.1</v>
      </c>
      <c r="P1894" s="8">
        <v>63.9</v>
      </c>
      <c r="R1894" s="8">
        <v>66.73</v>
      </c>
    </row>
    <row r="1895" spans="1:18" x14ac:dyDescent="0.35">
      <c r="A1895" s="7">
        <v>45359</v>
      </c>
      <c r="K1895" s="26">
        <v>56.58</v>
      </c>
      <c r="L1895" s="8">
        <v>58.82</v>
      </c>
      <c r="M1895" s="8">
        <v>59.54</v>
      </c>
      <c r="N1895" s="8">
        <v>60.85</v>
      </c>
      <c r="O1895" s="11">
        <f>O1894+AVERAGE(P1895-P1894,N1895-N1894,R1895-R1894)</f>
        <v>60.963333333333331</v>
      </c>
      <c r="P1895" s="8">
        <v>62.94</v>
      </c>
      <c r="R1895" s="8">
        <v>65.27</v>
      </c>
    </row>
    <row r="1896" spans="1:18" x14ac:dyDescent="0.35">
      <c r="A1896" s="7">
        <v>45360</v>
      </c>
      <c r="K1896" s="26">
        <v>56.58</v>
      </c>
      <c r="L1896" s="8">
        <v>58.82</v>
      </c>
      <c r="M1896" s="8">
        <v>59.54</v>
      </c>
      <c r="N1896" s="8">
        <v>60.85</v>
      </c>
      <c r="O1896" s="11">
        <f>O1895+AVERAGE(P1896-P1895,N1896-N1895,R1896-R1895)</f>
        <v>60.963333333333331</v>
      </c>
      <c r="P1896" s="8">
        <v>62.94</v>
      </c>
      <c r="R1896" s="8">
        <v>65.27</v>
      </c>
    </row>
    <row r="1897" spans="1:18" x14ac:dyDescent="0.35">
      <c r="A1897" s="7">
        <v>45361</v>
      </c>
      <c r="K1897" s="26">
        <v>56.58</v>
      </c>
      <c r="L1897" s="8">
        <v>58.82</v>
      </c>
      <c r="M1897" s="8">
        <v>59.54</v>
      </c>
      <c r="N1897" s="8">
        <v>60.85</v>
      </c>
      <c r="O1897" s="11">
        <f>O1896+AVERAGE(P1897-P1896,N1897-N1896,R1897-R1896)</f>
        <v>60.963333333333331</v>
      </c>
      <c r="P1897" s="8">
        <v>62.94</v>
      </c>
      <c r="R1897" s="8">
        <v>65.27</v>
      </c>
    </row>
    <row r="1898" spans="1:18" x14ac:dyDescent="0.35">
      <c r="A1898" s="7">
        <v>45362</v>
      </c>
      <c r="K1898" s="26">
        <v>54.45</v>
      </c>
      <c r="L1898" s="8">
        <v>56.61</v>
      </c>
      <c r="M1898" s="8">
        <v>57.15</v>
      </c>
      <c r="N1898" s="8">
        <v>58.62</v>
      </c>
      <c r="O1898" s="11">
        <f>O1897+AVERAGE(P1898-P1897,N1898-N1897,R1898-R1897)</f>
        <v>58.73555555555555</v>
      </c>
      <c r="P1898" s="8">
        <v>60.71</v>
      </c>
      <c r="R1898" s="11">
        <f>R1897+AVERAGE(N1898-N1897,L1898-L1897,P1898-P1897)</f>
        <v>63.04666666666666</v>
      </c>
    </row>
    <row r="1899" spans="1:18" x14ac:dyDescent="0.35">
      <c r="A1899" s="7">
        <v>45363</v>
      </c>
      <c r="K1899" s="26">
        <v>54.78</v>
      </c>
      <c r="L1899" s="8">
        <v>56.05</v>
      </c>
      <c r="M1899" s="8">
        <v>56.4</v>
      </c>
      <c r="N1899" s="8">
        <v>58.23</v>
      </c>
      <c r="O1899" s="8">
        <v>58.15</v>
      </c>
      <c r="P1899" s="8">
        <v>59.7</v>
      </c>
      <c r="R1899" s="8">
        <v>62.05</v>
      </c>
    </row>
    <row r="1900" spans="1:18" x14ac:dyDescent="0.35">
      <c r="A1900" s="7">
        <v>45364</v>
      </c>
      <c r="K1900" s="26">
        <v>54.31</v>
      </c>
      <c r="L1900" s="8">
        <v>56.44</v>
      </c>
      <c r="M1900" s="8">
        <v>56.73</v>
      </c>
      <c r="N1900" s="8">
        <v>58.65</v>
      </c>
      <c r="O1900" s="11">
        <f>O1899+AVERAGE(P1900-P1899,N1900-N1899,R1900-R1899)</f>
        <v>58.643333333333331</v>
      </c>
      <c r="P1900" s="8">
        <v>60.41</v>
      </c>
      <c r="R1900" s="8">
        <v>62.4</v>
      </c>
    </row>
    <row r="1901" spans="1:18" x14ac:dyDescent="0.35">
      <c r="A1901" s="7">
        <v>45365</v>
      </c>
      <c r="K1901" s="26">
        <v>56.67</v>
      </c>
      <c r="L1901" s="8">
        <v>57.14</v>
      </c>
      <c r="M1901" s="8">
        <v>59.06</v>
      </c>
      <c r="N1901" s="8">
        <v>60.08</v>
      </c>
      <c r="O1901" s="11">
        <f>O1900+AVERAGE(P1901-P1900,N1901-N1900,R1901-R1900)</f>
        <v>60.38</v>
      </c>
      <c r="P1901" s="8">
        <v>61.89</v>
      </c>
      <c r="R1901" s="8">
        <v>64.7</v>
      </c>
    </row>
    <row r="1902" spans="1:18" x14ac:dyDescent="0.35">
      <c r="A1902" s="7">
        <v>45366</v>
      </c>
      <c r="K1902" s="26">
        <v>57.57</v>
      </c>
      <c r="L1902" s="8">
        <v>59.25</v>
      </c>
      <c r="M1902" s="8">
        <v>60.11</v>
      </c>
      <c r="N1902" s="8">
        <v>61.51</v>
      </c>
      <c r="O1902" s="11">
        <f>O1901+AVERAGE(P1902-P1901,N1902-N1901,R1902-R1901)</f>
        <v>61.516666666666666</v>
      </c>
      <c r="P1902" s="8">
        <v>63.27</v>
      </c>
      <c r="R1902" s="8">
        <v>65.3</v>
      </c>
    </row>
    <row r="1903" spans="1:18" x14ac:dyDescent="0.35">
      <c r="A1903" s="7">
        <v>45367</v>
      </c>
      <c r="K1903" s="26">
        <v>57.57</v>
      </c>
      <c r="L1903" s="8">
        <v>59.25</v>
      </c>
      <c r="M1903" s="8">
        <v>60.11</v>
      </c>
      <c r="N1903" s="8">
        <v>61.51</v>
      </c>
      <c r="O1903" s="11">
        <f>O1902+AVERAGE(P1903-P1902,N1903-N1902,R1903-R1902)</f>
        <v>61.516666666666666</v>
      </c>
      <c r="P1903" s="8">
        <v>63.27</v>
      </c>
      <c r="R1903" s="8">
        <v>65.3</v>
      </c>
    </row>
    <row r="1904" spans="1:18" x14ac:dyDescent="0.35">
      <c r="A1904" s="7">
        <v>45368</v>
      </c>
      <c r="K1904" s="26">
        <v>57.57</v>
      </c>
      <c r="L1904" s="8">
        <v>59.25</v>
      </c>
      <c r="M1904" s="8">
        <v>60.11</v>
      </c>
      <c r="N1904" s="8">
        <v>61.51</v>
      </c>
      <c r="O1904" s="11">
        <f>O1903+AVERAGE(P1904-P1903,N1904-N1903,R1904-R1903)</f>
        <v>61.516666666666666</v>
      </c>
      <c r="P1904" s="8">
        <v>63.27</v>
      </c>
      <c r="R1904" s="8">
        <v>65.3</v>
      </c>
    </row>
    <row r="1905" spans="1:18" x14ac:dyDescent="0.35">
      <c r="A1905" s="7">
        <v>45369</v>
      </c>
      <c r="L1905" s="8">
        <v>61.46</v>
      </c>
      <c r="M1905" s="8">
        <v>62.16</v>
      </c>
      <c r="N1905" s="8">
        <v>63.67</v>
      </c>
      <c r="O1905" s="8">
        <v>64.260000000000005</v>
      </c>
      <c r="P1905" s="8">
        <v>65.930000000000007</v>
      </c>
      <c r="R1905" s="8">
        <v>68.7</v>
      </c>
    </row>
    <row r="1906" spans="1:18" x14ac:dyDescent="0.35">
      <c r="A1906" s="7">
        <v>45370</v>
      </c>
      <c r="L1906" s="8">
        <v>61.02</v>
      </c>
      <c r="M1906" s="8">
        <v>61.49</v>
      </c>
      <c r="N1906" s="8">
        <v>63.12</v>
      </c>
      <c r="O1906" s="11">
        <f t="shared" ref="O1906:O1913" si="10">O1905+AVERAGE(P1906-P1905,N1906-N1905,R1906-R1905)</f>
        <v>63.966666666666669</v>
      </c>
      <c r="P1906" s="8">
        <v>66.03</v>
      </c>
      <c r="R1906" s="8">
        <v>68.27</v>
      </c>
    </row>
    <row r="1907" spans="1:18" x14ac:dyDescent="0.35">
      <c r="A1907" s="7">
        <v>45371</v>
      </c>
      <c r="L1907" s="8">
        <v>60.58</v>
      </c>
      <c r="M1907" s="8">
        <v>61.17</v>
      </c>
      <c r="N1907" s="8">
        <v>62.79</v>
      </c>
      <c r="O1907" s="11">
        <f t="shared" si="10"/>
        <v>63.260000000000005</v>
      </c>
      <c r="P1907" s="8">
        <v>65.180000000000007</v>
      </c>
      <c r="R1907" s="8">
        <v>67.33</v>
      </c>
    </row>
    <row r="1908" spans="1:18" x14ac:dyDescent="0.35">
      <c r="A1908" s="7">
        <v>45372</v>
      </c>
      <c r="L1908" s="8">
        <v>59.46</v>
      </c>
      <c r="M1908" s="8">
        <v>59.89</v>
      </c>
      <c r="N1908" s="8">
        <v>61.81</v>
      </c>
      <c r="O1908" s="11">
        <f t="shared" si="10"/>
        <v>62.103333333333339</v>
      </c>
      <c r="P1908" s="8">
        <v>63.79</v>
      </c>
      <c r="R1908" s="8">
        <v>66.23</v>
      </c>
    </row>
    <row r="1909" spans="1:18" x14ac:dyDescent="0.35">
      <c r="A1909" s="7">
        <v>45373</v>
      </c>
      <c r="L1909" s="8">
        <v>60.94</v>
      </c>
      <c r="M1909" s="8">
        <v>62.09</v>
      </c>
      <c r="N1909" s="8">
        <v>63.07</v>
      </c>
      <c r="O1909" s="11">
        <f t="shared" si="10"/>
        <v>64.08</v>
      </c>
      <c r="P1909" s="8">
        <v>66.099999999999994</v>
      </c>
      <c r="R1909" s="8">
        <v>68.59</v>
      </c>
    </row>
    <row r="1910" spans="1:18" x14ac:dyDescent="0.35">
      <c r="A1910" s="7">
        <v>45374</v>
      </c>
      <c r="L1910" s="8">
        <v>60.94</v>
      </c>
      <c r="M1910" s="8">
        <v>62.09</v>
      </c>
      <c r="N1910" s="8">
        <v>63.07</v>
      </c>
      <c r="O1910" s="11">
        <f t="shared" si="10"/>
        <v>64.08</v>
      </c>
      <c r="P1910" s="8">
        <v>66.099999999999994</v>
      </c>
      <c r="R1910" s="8">
        <v>68.59</v>
      </c>
    </row>
    <row r="1911" spans="1:18" x14ac:dyDescent="0.35">
      <c r="A1911" s="7">
        <v>45375</v>
      </c>
      <c r="L1911" s="8">
        <v>60.94</v>
      </c>
      <c r="M1911" s="8">
        <v>62.09</v>
      </c>
      <c r="N1911" s="8">
        <v>63.07</v>
      </c>
      <c r="O1911" s="11">
        <f t="shared" si="10"/>
        <v>64.08</v>
      </c>
      <c r="P1911" s="8">
        <v>66.099999999999994</v>
      </c>
      <c r="R1911" s="8">
        <v>68.59</v>
      </c>
    </row>
    <row r="1912" spans="1:18" x14ac:dyDescent="0.35">
      <c r="A1912" s="7">
        <v>45376</v>
      </c>
      <c r="L1912" s="8">
        <v>64.31</v>
      </c>
      <c r="M1912" s="8">
        <v>65.02</v>
      </c>
      <c r="N1912" s="8">
        <v>66.39</v>
      </c>
      <c r="O1912" s="11">
        <f t="shared" si="10"/>
        <v>66.83</v>
      </c>
      <c r="P1912" s="8">
        <v>69.02</v>
      </c>
      <c r="R1912" s="8">
        <v>70.599999999999994</v>
      </c>
    </row>
    <row r="1913" spans="1:18" x14ac:dyDescent="0.35">
      <c r="A1913" s="7">
        <v>45377</v>
      </c>
      <c r="L1913" s="8">
        <v>63.9</v>
      </c>
      <c r="M1913" s="8">
        <v>65</v>
      </c>
      <c r="N1913" s="8">
        <v>66.290000000000006</v>
      </c>
      <c r="O1913" s="11">
        <f t="shared" si="10"/>
        <v>66.783333333333331</v>
      </c>
      <c r="P1913" s="8">
        <v>68.94</v>
      </c>
      <c r="R1913" s="8">
        <v>70.64</v>
      </c>
    </row>
    <row r="1914" spans="1:18" x14ac:dyDescent="0.35">
      <c r="A1914" s="7">
        <v>45378</v>
      </c>
      <c r="L1914" s="8">
        <v>62.05</v>
      </c>
      <c r="M1914" s="8">
        <v>62.77</v>
      </c>
      <c r="N1914" s="8">
        <v>64.45</v>
      </c>
      <c r="O1914" s="8">
        <v>64.53</v>
      </c>
      <c r="P1914" s="8">
        <v>66.66</v>
      </c>
      <c r="R1914" s="8">
        <v>69</v>
      </c>
    </row>
    <row r="1915" spans="1:18" x14ac:dyDescent="0.35">
      <c r="A1915" s="7">
        <v>45379</v>
      </c>
      <c r="L1915" s="8">
        <v>61.98</v>
      </c>
      <c r="M1915" s="8">
        <v>62.68</v>
      </c>
      <c r="N1915" s="8">
        <v>64.25</v>
      </c>
      <c r="O1915" s="11">
        <f t="shared" ref="O1915:O1920" si="11">O1914+AVERAGE(P1915-P1914,N1915-N1914,R1915-R1914)</f>
        <v>64.277777777777786</v>
      </c>
      <c r="P1915" s="8">
        <v>66.31</v>
      </c>
      <c r="R1915" s="11">
        <f>R1914+AVERAGE(N1915-N1914,L1915-L1914,P1915-P1914)</f>
        <v>68.793333333333337</v>
      </c>
    </row>
    <row r="1916" spans="1:18" x14ac:dyDescent="0.35">
      <c r="A1916" s="7">
        <v>45380</v>
      </c>
      <c r="L1916" s="8">
        <v>61.98</v>
      </c>
      <c r="M1916" s="8">
        <v>62.68</v>
      </c>
      <c r="N1916" s="8">
        <v>64.25</v>
      </c>
      <c r="O1916" s="11">
        <f t="shared" si="11"/>
        <v>64.277777777777786</v>
      </c>
      <c r="P1916" s="8">
        <v>66.31</v>
      </c>
      <c r="R1916" s="11">
        <f>R1915+AVERAGE(N1916-N1915,L1916-L1915,P1916-P1915)</f>
        <v>68.793333333333337</v>
      </c>
    </row>
    <row r="1917" spans="1:18" x14ac:dyDescent="0.35">
      <c r="A1917" s="7">
        <v>45381</v>
      </c>
      <c r="L1917" s="8">
        <v>61.98</v>
      </c>
      <c r="M1917" s="8">
        <v>62.68</v>
      </c>
      <c r="N1917" s="8">
        <v>64.25</v>
      </c>
      <c r="O1917" s="11">
        <f t="shared" si="11"/>
        <v>64.277777777777786</v>
      </c>
      <c r="P1917" s="8">
        <v>66.31</v>
      </c>
      <c r="R1917" s="11">
        <f>R1916+AVERAGE(N1917-N1916,L1917-L1916,P1917-P1916)</f>
        <v>68.793333333333337</v>
      </c>
    </row>
    <row r="1918" spans="1:18" x14ac:dyDescent="0.35">
      <c r="A1918" s="7">
        <v>45382</v>
      </c>
      <c r="L1918" s="8">
        <v>61.98</v>
      </c>
      <c r="M1918" s="8">
        <v>62.68</v>
      </c>
      <c r="N1918" s="8">
        <v>64.25</v>
      </c>
      <c r="O1918" s="11">
        <f t="shared" si="11"/>
        <v>64.277777777777786</v>
      </c>
      <c r="P1918" s="8">
        <v>66.31</v>
      </c>
      <c r="R1918" s="11">
        <f>R1917+AVERAGE(N1918-N1917,L1918-L1917,P1918-P1917)</f>
        <v>68.793333333333337</v>
      </c>
    </row>
    <row r="1919" spans="1:18" x14ac:dyDescent="0.35">
      <c r="A1919" s="7">
        <v>45383</v>
      </c>
      <c r="L1919" s="8">
        <v>61.98</v>
      </c>
      <c r="M1919" s="8">
        <v>62.68</v>
      </c>
      <c r="N1919" s="8">
        <v>64.25</v>
      </c>
      <c r="O1919" s="11">
        <f t="shared" si="11"/>
        <v>64.277777777777786</v>
      </c>
      <c r="P1919" s="8">
        <v>66.31</v>
      </c>
      <c r="R1919" s="11">
        <f>R1918+AVERAGE(N1919-N1918,L1919-L1918,P1919-P1918)</f>
        <v>68.793333333333337</v>
      </c>
    </row>
    <row r="1920" spans="1:18" x14ac:dyDescent="0.35">
      <c r="A1920" s="7">
        <v>45384</v>
      </c>
      <c r="L1920" s="8">
        <v>59.47</v>
      </c>
      <c r="M1920" s="8">
        <v>59.88</v>
      </c>
      <c r="N1920" s="8">
        <v>61.56</v>
      </c>
      <c r="O1920" s="11">
        <f t="shared" si="11"/>
        <v>61.613333333333344</v>
      </c>
      <c r="P1920" s="8">
        <v>63.87</v>
      </c>
      <c r="R1920" s="8">
        <v>65.930000000000007</v>
      </c>
    </row>
    <row r="1921" spans="1:18" x14ac:dyDescent="0.35">
      <c r="A1921" s="7">
        <v>45385</v>
      </c>
      <c r="L1921" s="26">
        <v>57.41</v>
      </c>
      <c r="M1921" s="26">
        <v>58.11</v>
      </c>
      <c r="N1921" s="26">
        <v>59.65</v>
      </c>
      <c r="O1921" s="26">
        <v>60.25</v>
      </c>
      <c r="P1921" s="26">
        <v>61.89</v>
      </c>
      <c r="Q1921" s="26">
        <v>62.47</v>
      </c>
      <c r="R1921" s="26">
        <v>64.25</v>
      </c>
    </row>
    <row r="1922" spans="1:18" x14ac:dyDescent="0.35">
      <c r="A1922" s="7">
        <v>45386</v>
      </c>
      <c r="L1922" s="26">
        <v>58.5</v>
      </c>
      <c r="M1922" s="26">
        <v>59.19</v>
      </c>
      <c r="N1922" s="26">
        <v>60.79</v>
      </c>
      <c r="O1922" s="26">
        <v>61.38</v>
      </c>
      <c r="P1922" s="26">
        <v>63</v>
      </c>
      <c r="Q1922" s="26">
        <v>63.59</v>
      </c>
      <c r="R1922" s="26">
        <v>65.38</v>
      </c>
    </row>
    <row r="1923" spans="1:18" x14ac:dyDescent="0.35">
      <c r="A1923" s="7">
        <v>45387</v>
      </c>
      <c r="L1923" s="26">
        <v>60.58</v>
      </c>
      <c r="M1923" s="26">
        <v>61.28</v>
      </c>
      <c r="N1923" s="26">
        <v>62.93</v>
      </c>
      <c r="O1923" s="26">
        <v>63.53</v>
      </c>
      <c r="P1923" s="26">
        <v>65.180000000000007</v>
      </c>
      <c r="Q1923" s="26">
        <v>65.790000000000006</v>
      </c>
      <c r="R1923" s="26">
        <v>67.61</v>
      </c>
    </row>
    <row r="1924" spans="1:18" x14ac:dyDescent="0.35">
      <c r="A1924" s="7">
        <v>45388</v>
      </c>
      <c r="L1924" s="26">
        <v>60.58</v>
      </c>
      <c r="M1924" s="26">
        <v>61.28</v>
      </c>
      <c r="N1924" s="26">
        <v>62.93</v>
      </c>
      <c r="O1924" s="26">
        <v>63.53</v>
      </c>
      <c r="P1924" s="26">
        <v>65.180000000000007</v>
      </c>
      <c r="Q1924" s="26">
        <v>65.790000000000006</v>
      </c>
      <c r="R1924" s="26">
        <v>67.61</v>
      </c>
    </row>
    <row r="1925" spans="1:18" x14ac:dyDescent="0.35">
      <c r="A1925" s="7">
        <v>45389</v>
      </c>
      <c r="L1925" s="26">
        <v>60.58</v>
      </c>
      <c r="M1925" s="26">
        <v>61.28</v>
      </c>
      <c r="N1925" s="26">
        <v>62.93</v>
      </c>
      <c r="O1925" s="26">
        <v>63.53</v>
      </c>
      <c r="P1925" s="26">
        <v>65.180000000000007</v>
      </c>
      <c r="Q1925" s="26">
        <v>65.790000000000006</v>
      </c>
      <c r="R1925" s="26">
        <v>67.61</v>
      </c>
    </row>
    <row r="1926" spans="1:18" x14ac:dyDescent="0.35">
      <c r="A1926" s="7">
        <v>45390</v>
      </c>
      <c r="L1926" s="26">
        <v>63.51</v>
      </c>
      <c r="M1926" s="26">
        <v>64.22</v>
      </c>
      <c r="N1926" s="26">
        <v>65.91</v>
      </c>
      <c r="O1926" s="26">
        <v>66.52</v>
      </c>
      <c r="P1926" s="26">
        <v>68.22</v>
      </c>
      <c r="Q1926" s="26">
        <v>68.849999999999994</v>
      </c>
      <c r="R1926" s="26">
        <v>70.69</v>
      </c>
    </row>
    <row r="1927" spans="1:18" x14ac:dyDescent="0.35">
      <c r="A1927" s="7">
        <v>45391</v>
      </c>
      <c r="L1927" s="26">
        <v>64.069999999999993</v>
      </c>
      <c r="M1927" s="26">
        <v>64.78</v>
      </c>
      <c r="N1927" s="26">
        <v>66.48</v>
      </c>
      <c r="O1927" s="26">
        <v>67.08</v>
      </c>
      <c r="P1927" s="26">
        <v>68.77</v>
      </c>
      <c r="Q1927" s="26">
        <v>69.37</v>
      </c>
      <c r="R1927" s="26">
        <v>71.180000000000007</v>
      </c>
    </row>
    <row r="1928" spans="1:18" x14ac:dyDescent="0.35">
      <c r="A1928" s="7">
        <v>45392</v>
      </c>
      <c r="L1928" s="26">
        <v>62.87</v>
      </c>
      <c r="M1928" s="26">
        <v>63.59</v>
      </c>
      <c r="N1928" s="26">
        <v>65.3</v>
      </c>
      <c r="O1928" s="26">
        <v>65.91</v>
      </c>
      <c r="P1928" s="26">
        <v>67.61</v>
      </c>
      <c r="Q1928" s="26">
        <v>68.19</v>
      </c>
      <c r="R1928" s="26">
        <v>69.98</v>
      </c>
    </row>
    <row r="1929" spans="1:18" x14ac:dyDescent="0.35">
      <c r="A1929" s="7">
        <v>45393</v>
      </c>
      <c r="L1929" s="26">
        <v>68.03</v>
      </c>
      <c r="M1929" s="26">
        <v>68.790000000000006</v>
      </c>
      <c r="N1929" s="26">
        <v>70.69</v>
      </c>
      <c r="O1929" s="26">
        <v>71.3</v>
      </c>
      <c r="P1929" s="26">
        <v>73.16</v>
      </c>
      <c r="Q1929" s="26">
        <v>73.8</v>
      </c>
      <c r="R1929" s="26">
        <v>75.650000000000006</v>
      </c>
    </row>
    <row r="1930" spans="1:18" x14ac:dyDescent="0.35">
      <c r="A1930" s="7">
        <v>45394</v>
      </c>
      <c r="L1930" s="26">
        <v>71.55</v>
      </c>
      <c r="M1930" s="26">
        <v>72.34</v>
      </c>
      <c r="N1930" s="26">
        <v>74.3</v>
      </c>
      <c r="O1930" s="26">
        <v>74.930000000000007</v>
      </c>
      <c r="P1930" s="26">
        <v>76.849999999999994</v>
      </c>
      <c r="Q1930" s="26">
        <v>77.569999999999993</v>
      </c>
      <c r="R1930" s="26">
        <v>79.5</v>
      </c>
    </row>
    <row r="1931" spans="1:18" x14ac:dyDescent="0.35">
      <c r="A1931" s="7">
        <v>45395</v>
      </c>
      <c r="L1931" s="26">
        <v>71.55</v>
      </c>
      <c r="M1931" s="26">
        <v>72.34</v>
      </c>
      <c r="N1931" s="26">
        <v>74.3</v>
      </c>
      <c r="O1931" s="26">
        <v>74.930000000000007</v>
      </c>
      <c r="P1931" s="26">
        <v>76.849999999999994</v>
      </c>
      <c r="Q1931" s="26">
        <v>77.569999999999993</v>
      </c>
      <c r="R1931" s="26">
        <v>79.5</v>
      </c>
    </row>
    <row r="1932" spans="1:18" x14ac:dyDescent="0.35">
      <c r="A1932" s="7">
        <v>45396</v>
      </c>
      <c r="L1932" s="26">
        <v>71.55</v>
      </c>
      <c r="M1932" s="26">
        <v>72.34</v>
      </c>
      <c r="N1932" s="26">
        <v>74.3</v>
      </c>
      <c r="O1932" s="26">
        <v>74.930000000000007</v>
      </c>
      <c r="P1932" s="26">
        <v>76.849999999999994</v>
      </c>
      <c r="Q1932" s="26">
        <v>77.569999999999993</v>
      </c>
      <c r="R1932" s="26">
        <v>79.5</v>
      </c>
    </row>
    <row r="1933" spans="1:18" x14ac:dyDescent="0.35">
      <c r="A1933" s="7">
        <v>45397</v>
      </c>
      <c r="L1933" s="26">
        <v>70.55</v>
      </c>
      <c r="M1933" s="26">
        <v>71.37</v>
      </c>
      <c r="N1933" s="26">
        <v>73.27</v>
      </c>
      <c r="O1933" s="26">
        <v>73.91</v>
      </c>
      <c r="P1933" s="26">
        <v>75.84</v>
      </c>
      <c r="Q1933" s="26">
        <v>76.540000000000006</v>
      </c>
      <c r="R1933" s="26">
        <v>78.45</v>
      </c>
    </row>
    <row r="1934" spans="1:18" x14ac:dyDescent="0.35">
      <c r="A1934" s="7">
        <v>45398</v>
      </c>
      <c r="L1934" s="26">
        <v>73.62</v>
      </c>
      <c r="M1934" s="26">
        <v>74.489999999999995</v>
      </c>
      <c r="N1934" s="26">
        <v>76.52</v>
      </c>
      <c r="O1934" s="26">
        <v>77.239999999999995</v>
      </c>
      <c r="P1934" s="26">
        <v>79.31</v>
      </c>
      <c r="Q1934" s="26">
        <v>80.03</v>
      </c>
      <c r="R1934" s="26">
        <v>81.96</v>
      </c>
    </row>
    <row r="1935" spans="1:18" x14ac:dyDescent="0.35">
      <c r="A1935" s="7">
        <v>45399</v>
      </c>
      <c r="L1935" s="8">
        <v>71.2</v>
      </c>
      <c r="M1935" s="8">
        <v>72.56</v>
      </c>
      <c r="N1935" s="8">
        <v>74.430000000000007</v>
      </c>
      <c r="O1935" s="8">
        <v>75.81</v>
      </c>
      <c r="P1935" s="8">
        <v>76.48</v>
      </c>
      <c r="R1935" s="8">
        <v>80.36</v>
      </c>
    </row>
    <row r="1936" spans="1:18" x14ac:dyDescent="0.35">
      <c r="A1936" s="7">
        <v>45400</v>
      </c>
      <c r="L1936" s="8">
        <v>70.38</v>
      </c>
      <c r="M1936" s="8">
        <v>71.19</v>
      </c>
      <c r="N1936" s="8">
        <v>73.47</v>
      </c>
      <c r="O1936" s="8">
        <v>72.69</v>
      </c>
      <c r="P1936" s="8">
        <v>76.099999999999994</v>
      </c>
      <c r="R1936" s="11">
        <f>R1935+AVERAGE(N1936-N1935,L1936-L1935,P1936-P1935)</f>
        <v>79.639999999999986</v>
      </c>
    </row>
    <row r="1937" spans="1:18" x14ac:dyDescent="0.35">
      <c r="A1937" s="7">
        <v>45401</v>
      </c>
      <c r="L1937" s="8">
        <v>70.180000000000007</v>
      </c>
      <c r="M1937" s="8">
        <v>71.06</v>
      </c>
      <c r="N1937" s="8">
        <v>73.11</v>
      </c>
      <c r="O1937" s="8">
        <v>73.13</v>
      </c>
      <c r="P1937" s="8">
        <v>75.56</v>
      </c>
      <c r="R1937" s="8">
        <v>78.67</v>
      </c>
    </row>
    <row r="1938" spans="1:18" x14ac:dyDescent="0.35">
      <c r="A1938" s="7">
        <v>45402</v>
      </c>
      <c r="L1938" s="8">
        <v>68.81</v>
      </c>
      <c r="M1938" s="8">
        <v>69.650000000000006</v>
      </c>
      <c r="N1938" s="8">
        <v>71.55</v>
      </c>
      <c r="O1938" s="8">
        <v>72.31</v>
      </c>
      <c r="P1938" s="8">
        <v>74.17</v>
      </c>
      <c r="Q1938" s="8">
        <v>74.930000000000007</v>
      </c>
      <c r="R1938" s="8">
        <v>76.91</v>
      </c>
    </row>
    <row r="1939" spans="1:18" x14ac:dyDescent="0.35">
      <c r="A1939" s="7">
        <v>45403</v>
      </c>
      <c r="L1939" s="8">
        <v>68.81</v>
      </c>
      <c r="M1939" s="8">
        <v>69.650000000000006</v>
      </c>
      <c r="N1939" s="8">
        <v>71.55</v>
      </c>
      <c r="O1939" s="8">
        <v>72.31</v>
      </c>
      <c r="P1939" s="8">
        <v>74.17</v>
      </c>
      <c r="Q1939" s="8">
        <v>74.930000000000007</v>
      </c>
      <c r="R1939" s="8">
        <v>76.91</v>
      </c>
    </row>
    <row r="1940" spans="1:18" x14ac:dyDescent="0.35">
      <c r="A1940" s="7">
        <v>45404</v>
      </c>
      <c r="L1940" s="8">
        <v>66.92</v>
      </c>
      <c r="M1940" s="8">
        <v>67.25</v>
      </c>
      <c r="N1940" s="8">
        <v>69.53</v>
      </c>
      <c r="O1940" s="8">
        <v>70.459999999999994</v>
      </c>
      <c r="P1940" s="8">
        <v>71.72</v>
      </c>
      <c r="R1940" s="8">
        <v>74.5</v>
      </c>
    </row>
    <row r="1941" spans="1:18" x14ac:dyDescent="0.35">
      <c r="A1941" s="7">
        <v>45405</v>
      </c>
      <c r="L1941" s="8">
        <v>66.099999999999994</v>
      </c>
      <c r="M1941" s="8">
        <v>66.44</v>
      </c>
      <c r="N1941" s="8">
        <v>68.91</v>
      </c>
      <c r="O1941" s="8">
        <v>69.540000000000006</v>
      </c>
      <c r="P1941" s="8">
        <v>71.400000000000006</v>
      </c>
      <c r="R1941" s="8">
        <v>74.25</v>
      </c>
    </row>
    <row r="1942" spans="1:18" x14ac:dyDescent="0.35">
      <c r="A1942" s="7">
        <v>45406</v>
      </c>
      <c r="L1942" s="8">
        <v>66.069999999999993</v>
      </c>
      <c r="M1942" s="8">
        <v>67.47</v>
      </c>
      <c r="N1942" s="8">
        <v>69.06</v>
      </c>
      <c r="O1942" s="8">
        <v>69.900000000000006</v>
      </c>
      <c r="P1942" s="8">
        <v>71.209999999999994</v>
      </c>
      <c r="R1942" s="8">
        <v>73.040000000000006</v>
      </c>
    </row>
    <row r="1943" spans="1:18" x14ac:dyDescent="0.35">
      <c r="A1943" s="7">
        <v>45407</v>
      </c>
      <c r="L1943" s="8">
        <v>68.05</v>
      </c>
      <c r="M1943" s="11">
        <f>M1942+AVERAGE(N1943-N1942,L1943-L1942,P1943-P1942)</f>
        <v>69.296666666666667</v>
      </c>
      <c r="N1943" s="8">
        <v>70.489999999999995</v>
      </c>
      <c r="O1943" s="11">
        <f>O1942+AVERAGE(P1943-P1942,N1943-N1942,R1943-R1942)</f>
        <v>71.675555555555562</v>
      </c>
      <c r="P1943" s="8">
        <v>73.28</v>
      </c>
      <c r="R1943" s="11">
        <f>R1942+AVERAGE(N1943-N1942,L1943-L1942,P1943-P1942)</f>
        <v>74.866666666666674</v>
      </c>
    </row>
    <row r="1944" spans="1:18" x14ac:dyDescent="0.35">
      <c r="A1944" s="7">
        <v>45408</v>
      </c>
      <c r="L1944" s="8">
        <v>67.69</v>
      </c>
      <c r="M1944" s="8">
        <v>68.239999999999995</v>
      </c>
      <c r="N1944" s="8">
        <v>70.5</v>
      </c>
      <c r="O1944" s="11">
        <f>O1943+AVERAGE(P1944-P1943,N1944-N1943,R1944-R1943)</f>
        <v>71.916666666666671</v>
      </c>
      <c r="P1944" s="8">
        <v>72.959999999999994</v>
      </c>
      <c r="R1944" s="8">
        <v>75.900000000000006</v>
      </c>
    </row>
    <row r="1945" spans="1:18" x14ac:dyDescent="0.35">
      <c r="A1945" s="7">
        <v>45409</v>
      </c>
      <c r="L1945" s="8">
        <v>67.69</v>
      </c>
      <c r="M1945" s="8">
        <v>68.239999999999995</v>
      </c>
      <c r="N1945" s="8">
        <v>70.5</v>
      </c>
      <c r="O1945" s="11">
        <f>O1944+AVERAGE(P1945-P1944,N1945-N1944,R1945-R1944)</f>
        <v>71.916666666666671</v>
      </c>
      <c r="P1945" s="8">
        <v>72.959999999999994</v>
      </c>
      <c r="R1945" s="8">
        <v>75.900000000000006</v>
      </c>
    </row>
    <row r="1946" spans="1:18" x14ac:dyDescent="0.35">
      <c r="A1946" s="7">
        <v>45410</v>
      </c>
      <c r="L1946" s="8">
        <v>67.69</v>
      </c>
      <c r="M1946" s="8">
        <v>68.239999999999995</v>
      </c>
      <c r="N1946" s="8">
        <v>70.5</v>
      </c>
      <c r="O1946" s="11">
        <f>O1945+AVERAGE(P1946-P1945,N1946-N1945,R1946-R1945)</f>
        <v>71.916666666666671</v>
      </c>
      <c r="P1946" s="8">
        <v>72.959999999999994</v>
      </c>
      <c r="R1946" s="8">
        <v>75.900000000000006</v>
      </c>
    </row>
    <row r="1947" spans="1:18" x14ac:dyDescent="0.35">
      <c r="A1947" s="7">
        <v>45411</v>
      </c>
      <c r="L1947" s="8">
        <v>65.59</v>
      </c>
      <c r="M1947" s="8">
        <v>66.209999999999994</v>
      </c>
      <c r="N1947" s="8">
        <v>68.16</v>
      </c>
      <c r="O1947" s="8">
        <v>68.87</v>
      </c>
      <c r="P1947" s="8">
        <v>70.7</v>
      </c>
      <c r="R1947" s="8">
        <v>73.38</v>
      </c>
    </row>
    <row r="1948" spans="1:18" x14ac:dyDescent="0.35">
      <c r="A1948" s="7">
        <v>45412</v>
      </c>
      <c r="L1948" s="8">
        <v>67.78</v>
      </c>
      <c r="M1948" s="8">
        <v>68.59</v>
      </c>
      <c r="N1948" s="8">
        <v>70.58</v>
      </c>
      <c r="O1948" s="8">
        <v>72.23</v>
      </c>
      <c r="P1948" s="8">
        <v>73.37</v>
      </c>
      <c r="R1948" s="8">
        <v>76.42</v>
      </c>
    </row>
    <row r="1949" spans="1:18" x14ac:dyDescent="0.35">
      <c r="A1949" s="7">
        <v>45413</v>
      </c>
      <c r="L1949" s="8">
        <v>67.88</v>
      </c>
      <c r="M1949" s="11">
        <f>M1948+AVERAGE(N1949-N1948,L1949-L1948,P1949-P1948)</f>
        <v>68.661111111111111</v>
      </c>
      <c r="N1949" s="8">
        <v>70.64</v>
      </c>
      <c r="O1949" s="11">
        <f>O1948+AVERAGE(P1949-P1948,N1949-N1948,R1949-R1948)</f>
        <v>72.291481481481483</v>
      </c>
      <c r="P1949" s="11">
        <f>P1948+AVERAGE(N1949-N1948,L1949-L1948,J1949-J1948)</f>
        <v>73.423333333333332</v>
      </c>
      <c r="R1949" s="11">
        <f>R1948+AVERAGE(N1949-N1948,L1949-L1948,P1949-P1948)</f>
        <v>76.49111111111111</v>
      </c>
    </row>
    <row r="1950" spans="1:18" x14ac:dyDescent="0.35">
      <c r="A1950" s="7">
        <v>45414</v>
      </c>
      <c r="L1950" s="8">
        <v>70.91</v>
      </c>
      <c r="M1950" s="8">
        <v>70.3</v>
      </c>
      <c r="N1950" s="8">
        <v>73.900000000000006</v>
      </c>
      <c r="O1950" s="8">
        <v>72.489999999999995</v>
      </c>
      <c r="P1950" s="8">
        <v>76.97</v>
      </c>
      <c r="R1950" s="8">
        <v>80.010000000000005</v>
      </c>
    </row>
    <row r="1951" spans="1:18" x14ac:dyDescent="0.35">
      <c r="A1951" s="7">
        <v>45415</v>
      </c>
      <c r="L1951" s="8">
        <v>72.98</v>
      </c>
      <c r="M1951" s="8">
        <v>74.05</v>
      </c>
      <c r="N1951" s="8">
        <v>75.849999999999994</v>
      </c>
      <c r="O1951" s="8">
        <v>76.88</v>
      </c>
      <c r="P1951" s="8">
        <v>78.39</v>
      </c>
      <c r="R1951" s="8">
        <v>81.040000000000006</v>
      </c>
    </row>
    <row r="1952" spans="1:18" x14ac:dyDescent="0.35">
      <c r="A1952" s="7">
        <v>45416</v>
      </c>
      <c r="L1952" s="8">
        <v>72.98</v>
      </c>
      <c r="M1952" s="8">
        <v>74.05</v>
      </c>
      <c r="N1952" s="8">
        <v>75.849999999999994</v>
      </c>
      <c r="O1952" s="8">
        <v>76.88</v>
      </c>
      <c r="P1952" s="8">
        <v>78.39</v>
      </c>
      <c r="R1952" s="8">
        <v>81.040000000000006</v>
      </c>
    </row>
    <row r="1953" spans="1:18" x14ac:dyDescent="0.35">
      <c r="A1953" s="7">
        <v>45417</v>
      </c>
      <c r="L1953" s="8">
        <v>72.98</v>
      </c>
      <c r="M1953" s="8">
        <v>74.05</v>
      </c>
      <c r="N1953" s="8">
        <v>75.849999999999994</v>
      </c>
      <c r="O1953" s="8">
        <v>76.88</v>
      </c>
      <c r="P1953" s="8">
        <v>78.39</v>
      </c>
      <c r="R1953" s="8">
        <v>81.040000000000006</v>
      </c>
    </row>
    <row r="1954" spans="1:18" x14ac:dyDescent="0.35">
      <c r="A1954" s="7">
        <v>45418</v>
      </c>
      <c r="L1954" s="8">
        <v>73.17</v>
      </c>
      <c r="M1954" s="8">
        <v>73.739999999999995</v>
      </c>
      <c r="N1954" s="8">
        <v>75.75</v>
      </c>
      <c r="O1954" s="11">
        <f>O1953+AVERAGE(P1954-P1953,N1954-N1953,R1954-R1953)</f>
        <v>76.64</v>
      </c>
      <c r="P1954" s="8">
        <v>78.180000000000007</v>
      </c>
      <c r="R1954" s="8">
        <v>80.63</v>
      </c>
    </row>
    <row r="1955" spans="1:18" x14ac:dyDescent="0.35">
      <c r="A1955" s="7">
        <v>45419</v>
      </c>
      <c r="L1955" s="26">
        <v>70.98</v>
      </c>
      <c r="M1955" s="26">
        <v>71.849999999999994</v>
      </c>
      <c r="N1955" s="26">
        <v>73.790000000000006</v>
      </c>
      <c r="O1955" s="26">
        <v>74.540000000000006</v>
      </c>
      <c r="P1955" s="26">
        <v>76.47</v>
      </c>
      <c r="Q1955" s="26">
        <v>77.290000000000006</v>
      </c>
      <c r="R1955" s="26">
        <v>79.34</v>
      </c>
    </row>
    <row r="1956" spans="1:18" x14ac:dyDescent="0.35">
      <c r="A1956" s="7">
        <v>45420</v>
      </c>
      <c r="L1956" s="26">
        <v>71.69</v>
      </c>
      <c r="M1956" s="26">
        <v>72.56</v>
      </c>
      <c r="N1956" s="26">
        <v>74.569999999999993</v>
      </c>
      <c r="O1956" s="26">
        <v>75.23</v>
      </c>
      <c r="P1956" s="26">
        <v>77.260000000000005</v>
      </c>
      <c r="Q1956" s="26">
        <v>78.08</v>
      </c>
      <c r="R1956" s="26">
        <v>80.13</v>
      </c>
    </row>
    <row r="1957" spans="1:18" x14ac:dyDescent="0.35">
      <c r="A1957" s="7">
        <v>45421</v>
      </c>
      <c r="L1957" s="26">
        <v>73.260000000000005</v>
      </c>
      <c r="M1957" s="26">
        <v>74.150000000000006</v>
      </c>
      <c r="N1957" s="26">
        <v>76.209999999999994</v>
      </c>
      <c r="O1957" s="26">
        <v>76.91</v>
      </c>
      <c r="P1957" s="26">
        <v>78.95</v>
      </c>
      <c r="Q1957" s="26">
        <v>79.77</v>
      </c>
      <c r="R1957" s="26">
        <v>81.819999999999993</v>
      </c>
    </row>
    <row r="1958" spans="1:18" x14ac:dyDescent="0.35">
      <c r="A1958" s="7">
        <v>45422</v>
      </c>
      <c r="L1958" s="26">
        <v>71.91</v>
      </c>
      <c r="M1958" s="26">
        <v>72.81</v>
      </c>
      <c r="N1958" s="26">
        <v>74.819999999999993</v>
      </c>
      <c r="O1958" s="26">
        <v>75.510000000000005</v>
      </c>
      <c r="P1958" s="26">
        <v>77.55</v>
      </c>
      <c r="Q1958" s="26">
        <v>78.37</v>
      </c>
      <c r="R1958" s="26">
        <v>80.42</v>
      </c>
    </row>
    <row r="1959" spans="1:18" x14ac:dyDescent="0.35">
      <c r="A1959" s="7">
        <v>45423</v>
      </c>
      <c r="L1959" s="26">
        <v>71.91</v>
      </c>
      <c r="M1959" s="26">
        <v>72.81</v>
      </c>
      <c r="N1959" s="26">
        <v>74.819999999999993</v>
      </c>
      <c r="O1959" s="26">
        <v>75.510000000000005</v>
      </c>
      <c r="P1959" s="26">
        <v>77.55</v>
      </c>
      <c r="Q1959" s="26">
        <v>78.37</v>
      </c>
      <c r="R1959" s="26">
        <v>80.42</v>
      </c>
    </row>
    <row r="1960" spans="1:18" x14ac:dyDescent="0.35">
      <c r="A1960" s="7">
        <v>45424</v>
      </c>
      <c r="L1960" s="26">
        <v>71.91</v>
      </c>
      <c r="M1960" s="26">
        <v>72.81</v>
      </c>
      <c r="N1960" s="26">
        <v>74.819999999999993</v>
      </c>
      <c r="O1960" s="26">
        <v>75.510000000000005</v>
      </c>
      <c r="P1960" s="26">
        <v>77.55</v>
      </c>
      <c r="Q1960" s="26">
        <v>78.37</v>
      </c>
      <c r="R1960" s="26">
        <v>80.42</v>
      </c>
    </row>
    <row r="1961" spans="1:18" x14ac:dyDescent="0.35">
      <c r="A1961" s="7">
        <v>45425</v>
      </c>
      <c r="L1961" s="26">
        <v>69.81</v>
      </c>
      <c r="M1961" s="26">
        <v>70.67</v>
      </c>
      <c r="N1961" s="26">
        <v>72.650000000000006</v>
      </c>
      <c r="O1961" s="26">
        <v>73.27</v>
      </c>
      <c r="P1961" s="26">
        <v>75.31</v>
      </c>
      <c r="Q1961" s="26">
        <v>76.13</v>
      </c>
      <c r="R1961" s="26">
        <v>78.180000000000007</v>
      </c>
    </row>
    <row r="1962" spans="1:18" x14ac:dyDescent="0.35">
      <c r="A1962" s="7">
        <v>45426</v>
      </c>
      <c r="L1962" s="26">
        <v>70.22</v>
      </c>
      <c r="M1962" s="26">
        <v>71.09</v>
      </c>
      <c r="N1962" s="26">
        <v>73.11</v>
      </c>
      <c r="O1962" s="26">
        <v>73.73</v>
      </c>
      <c r="P1962" s="26">
        <v>75.77</v>
      </c>
      <c r="Q1962" s="26">
        <v>76.59</v>
      </c>
      <c r="R1962" s="26">
        <v>78.64</v>
      </c>
    </row>
    <row r="1963" spans="1:18" x14ac:dyDescent="0.35">
      <c r="A1963" s="7">
        <v>45427</v>
      </c>
      <c r="L1963" s="26">
        <v>69.459999999999994</v>
      </c>
      <c r="M1963" s="26">
        <v>70.319999999999993</v>
      </c>
      <c r="N1963" s="26">
        <v>72.27</v>
      </c>
      <c r="O1963" s="26">
        <v>72.87</v>
      </c>
      <c r="P1963" s="26">
        <v>74.88</v>
      </c>
      <c r="Q1963" s="26">
        <v>75.650000000000006</v>
      </c>
      <c r="R1963" s="26">
        <v>77.650000000000006</v>
      </c>
    </row>
    <row r="1964" spans="1:18" x14ac:dyDescent="0.35">
      <c r="A1964" s="7">
        <v>45428</v>
      </c>
      <c r="L1964" s="26">
        <v>70.099999999999994</v>
      </c>
      <c r="M1964" s="26">
        <v>70.95</v>
      </c>
      <c r="N1964" s="26">
        <v>72.91</v>
      </c>
      <c r="O1964" s="26">
        <v>73.5</v>
      </c>
      <c r="P1964" s="26">
        <v>75.5</v>
      </c>
      <c r="Q1964" s="26">
        <v>76.260000000000005</v>
      </c>
      <c r="R1964" s="26">
        <v>78.28</v>
      </c>
    </row>
    <row r="1965" spans="1:18" x14ac:dyDescent="0.35">
      <c r="A1965" s="7">
        <v>45429</v>
      </c>
      <c r="L1965" s="26">
        <v>70.69</v>
      </c>
      <c r="M1965" s="26">
        <v>71.55</v>
      </c>
      <c r="N1965" s="26">
        <v>73.55</v>
      </c>
      <c r="O1965" s="26">
        <v>74.16</v>
      </c>
      <c r="P1965" s="26">
        <v>76.19</v>
      </c>
      <c r="Q1965" s="26">
        <v>76.959999999999994</v>
      </c>
      <c r="R1965" s="26">
        <v>78.959999999999994</v>
      </c>
    </row>
    <row r="1966" spans="1:18" x14ac:dyDescent="0.35">
      <c r="A1966" s="7">
        <v>45430</v>
      </c>
      <c r="L1966" s="26">
        <v>70.69</v>
      </c>
      <c r="M1966" s="26">
        <v>71.55</v>
      </c>
      <c r="N1966" s="26">
        <v>73.55</v>
      </c>
      <c r="O1966" s="26">
        <v>74.16</v>
      </c>
      <c r="P1966" s="26">
        <v>76.19</v>
      </c>
      <c r="Q1966" s="26">
        <v>76.959999999999994</v>
      </c>
      <c r="R1966" s="26">
        <v>78.959999999999994</v>
      </c>
    </row>
    <row r="1967" spans="1:18" x14ac:dyDescent="0.35">
      <c r="A1967" s="7">
        <v>45431</v>
      </c>
      <c r="L1967" s="26">
        <v>70.69</v>
      </c>
      <c r="M1967" s="26">
        <v>71.55</v>
      </c>
      <c r="N1967" s="26">
        <v>73.55</v>
      </c>
      <c r="O1967" s="26">
        <v>74.16</v>
      </c>
      <c r="P1967" s="26">
        <v>76.19</v>
      </c>
      <c r="Q1967" s="26">
        <v>76.959999999999994</v>
      </c>
      <c r="R1967" s="26">
        <v>78.959999999999994</v>
      </c>
    </row>
    <row r="1968" spans="1:18" x14ac:dyDescent="0.35">
      <c r="A1968" s="7">
        <v>45432</v>
      </c>
      <c r="L1968" s="26">
        <v>74.22</v>
      </c>
      <c r="M1968" s="26">
        <v>75.11</v>
      </c>
      <c r="N1968" s="26">
        <v>77.209999999999994</v>
      </c>
      <c r="O1968" s="26">
        <v>77.88</v>
      </c>
      <c r="P1968" s="26">
        <v>80.03</v>
      </c>
      <c r="Q1968" s="26">
        <v>80.819999999999993</v>
      </c>
      <c r="R1968" s="26">
        <v>82.84</v>
      </c>
    </row>
    <row r="1969" spans="1:18" x14ac:dyDescent="0.35">
      <c r="A1969" s="7">
        <v>45433</v>
      </c>
      <c r="L1969" s="26">
        <v>76.25</v>
      </c>
      <c r="M1969" s="26">
        <v>77.150000000000006</v>
      </c>
      <c r="N1969" s="26">
        <v>79.31</v>
      </c>
      <c r="O1969" s="26">
        <v>80.010000000000005</v>
      </c>
      <c r="P1969" s="26">
        <v>82.24</v>
      </c>
      <c r="Q1969" s="26">
        <v>83.07</v>
      </c>
      <c r="R1969" s="26">
        <v>85.12</v>
      </c>
    </row>
    <row r="1970" spans="1:18" x14ac:dyDescent="0.35">
      <c r="A1970" s="7">
        <v>45434</v>
      </c>
      <c r="L1970" s="26">
        <v>76.209999999999994</v>
      </c>
      <c r="M1970" s="26">
        <v>77.11</v>
      </c>
      <c r="N1970" s="26">
        <v>79.23</v>
      </c>
      <c r="O1970" s="26">
        <v>79.930000000000007</v>
      </c>
      <c r="P1970" s="26">
        <v>82.16</v>
      </c>
      <c r="Q1970" s="26">
        <v>83.06</v>
      </c>
      <c r="R1970" s="26">
        <v>85.26</v>
      </c>
    </row>
    <row r="1971" spans="1:18" x14ac:dyDescent="0.35">
      <c r="A1971" s="7">
        <v>45435</v>
      </c>
      <c r="L1971" s="26">
        <v>75.81</v>
      </c>
      <c r="M1971" s="26">
        <v>76.75</v>
      </c>
      <c r="N1971" s="26">
        <v>78.92</v>
      </c>
      <c r="O1971" s="26">
        <v>79.63</v>
      </c>
      <c r="P1971" s="26">
        <v>81.88</v>
      </c>
      <c r="Q1971" s="26">
        <v>82.73</v>
      </c>
      <c r="R1971" s="26">
        <v>84.89</v>
      </c>
    </row>
    <row r="1972" spans="1:18" x14ac:dyDescent="0.35">
      <c r="A1972" s="7">
        <v>45436</v>
      </c>
      <c r="L1972" s="26">
        <v>75.61</v>
      </c>
      <c r="M1972" s="26">
        <v>76.53</v>
      </c>
      <c r="N1972" s="26">
        <v>78.709999999999994</v>
      </c>
      <c r="O1972" s="26">
        <v>79.41</v>
      </c>
      <c r="P1972" s="26">
        <v>81.66</v>
      </c>
      <c r="Q1972" s="26">
        <v>82.48</v>
      </c>
      <c r="R1972" s="26">
        <v>87.7</v>
      </c>
    </row>
    <row r="1973" spans="1:18" x14ac:dyDescent="0.35">
      <c r="A1973" s="7">
        <v>45437</v>
      </c>
      <c r="L1973" s="26">
        <v>75.61</v>
      </c>
      <c r="M1973" s="26">
        <v>76.53</v>
      </c>
      <c r="N1973" s="26">
        <v>78.709999999999994</v>
      </c>
      <c r="O1973" s="26">
        <v>79.41</v>
      </c>
      <c r="P1973" s="26">
        <v>81.66</v>
      </c>
      <c r="Q1973" s="26">
        <v>82.48</v>
      </c>
      <c r="R1973" s="26">
        <v>87.7</v>
      </c>
    </row>
    <row r="1974" spans="1:18" x14ac:dyDescent="0.35">
      <c r="A1974" s="7">
        <v>45438</v>
      </c>
      <c r="L1974" s="26">
        <v>75.61</v>
      </c>
      <c r="M1974" s="26">
        <v>76.53</v>
      </c>
      <c r="N1974" s="26">
        <v>78.709999999999994</v>
      </c>
      <c r="O1974" s="26">
        <v>79.41</v>
      </c>
      <c r="P1974" s="26">
        <v>81.66</v>
      </c>
      <c r="Q1974" s="26">
        <v>82.48</v>
      </c>
      <c r="R1974" s="26">
        <v>87.7</v>
      </c>
    </row>
    <row r="1975" spans="1:18" x14ac:dyDescent="0.35">
      <c r="A1975" s="7">
        <v>45439</v>
      </c>
      <c r="L1975" s="26">
        <v>76.25</v>
      </c>
      <c r="M1975" s="26">
        <v>77.22</v>
      </c>
      <c r="N1975" s="26">
        <v>79.47</v>
      </c>
      <c r="O1975" s="26">
        <v>80.209999999999994</v>
      </c>
      <c r="P1975" s="26">
        <v>82.47</v>
      </c>
      <c r="Q1975" s="26">
        <v>83.34</v>
      </c>
      <c r="R1975" s="26">
        <v>85.52</v>
      </c>
    </row>
    <row r="1976" spans="1:18" x14ac:dyDescent="0.35">
      <c r="A1976" s="7">
        <v>45440</v>
      </c>
      <c r="L1976" s="26">
        <v>74.58</v>
      </c>
      <c r="M1976" s="26">
        <v>75.47</v>
      </c>
      <c r="N1976" s="26">
        <v>77.66</v>
      </c>
      <c r="O1976" s="26">
        <v>78.39</v>
      </c>
      <c r="P1976" s="26">
        <v>80.61</v>
      </c>
      <c r="Q1976" s="26">
        <v>81.400000000000006</v>
      </c>
      <c r="R1976" s="26">
        <v>83.49</v>
      </c>
    </row>
    <row r="1977" spans="1:18" x14ac:dyDescent="0.35">
      <c r="A1977" s="7">
        <v>45441</v>
      </c>
      <c r="L1977" s="26">
        <v>75.48</v>
      </c>
      <c r="M1977" s="26">
        <v>76.400000000000006</v>
      </c>
      <c r="N1977" s="26">
        <v>78.64</v>
      </c>
      <c r="O1977" s="26">
        <v>79.39</v>
      </c>
      <c r="P1977" s="26">
        <v>81.66</v>
      </c>
      <c r="Q1977" s="26">
        <v>82.53</v>
      </c>
      <c r="R1977" s="26">
        <v>84.7</v>
      </c>
    </row>
    <row r="1978" spans="1:18" x14ac:dyDescent="0.35">
      <c r="A1978" s="7">
        <v>45442</v>
      </c>
      <c r="L1978" s="26">
        <v>75.48</v>
      </c>
      <c r="M1978" s="26">
        <v>76.400000000000006</v>
      </c>
      <c r="N1978" s="26">
        <v>78.64</v>
      </c>
      <c r="O1978" s="26">
        <v>79.39</v>
      </c>
      <c r="P1978" s="26">
        <v>81.66</v>
      </c>
      <c r="Q1978" s="26">
        <v>82.53</v>
      </c>
      <c r="R1978" s="26">
        <v>84.7</v>
      </c>
    </row>
    <row r="1979" spans="1:18" x14ac:dyDescent="0.35">
      <c r="A1979" s="7">
        <v>45443</v>
      </c>
      <c r="L1979" s="26">
        <v>74.099999999999994</v>
      </c>
      <c r="M1979" s="26">
        <v>75.040000000000006</v>
      </c>
      <c r="N1979" s="26">
        <v>77.23</v>
      </c>
      <c r="O1979" s="26">
        <v>78.010000000000005</v>
      </c>
      <c r="P1979" s="26">
        <v>80.22</v>
      </c>
      <c r="Q1979" s="26">
        <v>81.12</v>
      </c>
      <c r="R1979" s="26">
        <v>83.31</v>
      </c>
    </row>
    <row r="1980" spans="1:18" x14ac:dyDescent="0.35">
      <c r="A1980" s="7">
        <v>45444</v>
      </c>
      <c r="L1980" s="26">
        <v>74.099999999999994</v>
      </c>
      <c r="M1980" s="26">
        <v>75.040000000000006</v>
      </c>
      <c r="N1980" s="26">
        <v>77.23</v>
      </c>
      <c r="O1980" s="26">
        <v>78.010000000000005</v>
      </c>
      <c r="P1980" s="26">
        <v>80.22</v>
      </c>
      <c r="Q1980" s="26">
        <v>81.12</v>
      </c>
      <c r="R1980" s="26">
        <v>83.31</v>
      </c>
    </row>
    <row r="1981" spans="1:18" x14ac:dyDescent="0.35">
      <c r="A1981" s="7">
        <v>45445</v>
      </c>
      <c r="L1981" s="26">
        <v>74.099999999999994</v>
      </c>
      <c r="M1981" s="26">
        <v>75.040000000000006</v>
      </c>
      <c r="N1981" s="26">
        <v>77.23</v>
      </c>
      <c r="O1981" s="26">
        <v>78.010000000000005</v>
      </c>
      <c r="P1981" s="26">
        <v>80.22</v>
      </c>
      <c r="Q1981" s="26">
        <v>81.12</v>
      </c>
      <c r="R1981" s="26">
        <v>83.31</v>
      </c>
    </row>
    <row r="1982" spans="1:18" x14ac:dyDescent="0.35">
      <c r="A1982" s="7">
        <v>45446</v>
      </c>
      <c r="L1982" s="26">
        <v>74.569999999999993</v>
      </c>
      <c r="M1982" s="26">
        <v>75.53</v>
      </c>
      <c r="N1982" s="26">
        <v>77.69</v>
      </c>
      <c r="O1982" s="26">
        <v>78.430000000000007</v>
      </c>
      <c r="P1982" s="26">
        <v>80.55</v>
      </c>
      <c r="Q1982" s="26">
        <v>81.45</v>
      </c>
      <c r="R1982" s="26">
        <v>83.64</v>
      </c>
    </row>
    <row r="1983" spans="1:18" x14ac:dyDescent="0.35">
      <c r="A1983" s="7">
        <v>45447</v>
      </c>
      <c r="L1983" s="26">
        <v>72.33</v>
      </c>
      <c r="M1983" s="26">
        <v>73.22</v>
      </c>
      <c r="N1983" s="26">
        <v>75.36</v>
      </c>
      <c r="O1983" s="26">
        <v>76.099999999999994</v>
      </c>
      <c r="P1983" s="26">
        <v>78.17</v>
      </c>
      <c r="Q1983" s="26">
        <v>78.98</v>
      </c>
      <c r="R1983" s="26">
        <v>81.069999999999993</v>
      </c>
    </row>
    <row r="1984" spans="1:18" x14ac:dyDescent="0.35">
      <c r="A1984" s="7">
        <v>45448</v>
      </c>
      <c r="L1984" s="26">
        <v>71.819999999999993</v>
      </c>
      <c r="M1984" s="26">
        <v>72.709999999999994</v>
      </c>
      <c r="N1984" s="26">
        <v>74.819999999999993</v>
      </c>
      <c r="O1984" s="26">
        <v>75.61</v>
      </c>
      <c r="P1984" s="26">
        <v>77.62</v>
      </c>
      <c r="Q1984" s="26">
        <v>78.45</v>
      </c>
      <c r="R1984" s="26">
        <v>80.56</v>
      </c>
    </row>
    <row r="1985" spans="1:18" x14ac:dyDescent="0.35">
      <c r="A1985" s="7">
        <v>45449</v>
      </c>
      <c r="L1985" s="26">
        <v>72.099999999999994</v>
      </c>
      <c r="M1985" s="26">
        <v>72.989999999999995</v>
      </c>
      <c r="N1985" s="26">
        <v>75.16</v>
      </c>
      <c r="O1985" s="26">
        <v>75.959999999999994</v>
      </c>
      <c r="P1985" s="26">
        <v>77.959999999999994</v>
      </c>
      <c r="Q1985" s="26">
        <v>78.78</v>
      </c>
      <c r="R1985" s="26">
        <v>80.89</v>
      </c>
    </row>
    <row r="1986" spans="1:18" x14ac:dyDescent="0.35">
      <c r="A1986" s="7">
        <v>45450</v>
      </c>
      <c r="L1986" s="26">
        <v>71.39</v>
      </c>
      <c r="M1986" s="26">
        <v>72.28</v>
      </c>
      <c r="N1986" s="26">
        <v>74.430000000000007</v>
      </c>
      <c r="O1986" s="26">
        <v>75.23</v>
      </c>
      <c r="P1986" s="26">
        <v>77.25</v>
      </c>
      <c r="Q1986" s="26">
        <v>78.05</v>
      </c>
      <c r="R1986" s="26">
        <v>80.150000000000006</v>
      </c>
    </row>
    <row r="1987" spans="1:18" x14ac:dyDescent="0.35">
      <c r="A1987" s="7">
        <v>45451</v>
      </c>
      <c r="L1987" s="26">
        <v>71.39</v>
      </c>
      <c r="M1987" s="26">
        <v>72.28</v>
      </c>
      <c r="N1987" s="26">
        <v>74.430000000000007</v>
      </c>
      <c r="O1987" s="26">
        <v>75.23</v>
      </c>
      <c r="P1987" s="26">
        <v>77.25</v>
      </c>
      <c r="Q1987" s="26">
        <v>78.05</v>
      </c>
      <c r="R1987" s="26">
        <v>80.150000000000006</v>
      </c>
    </row>
    <row r="1988" spans="1:18" x14ac:dyDescent="0.35">
      <c r="A1988" s="7">
        <v>45452</v>
      </c>
      <c r="L1988" s="26">
        <v>71.39</v>
      </c>
      <c r="M1988" s="26">
        <v>72.28</v>
      </c>
      <c r="N1988" s="26">
        <v>74.430000000000007</v>
      </c>
      <c r="O1988" s="26">
        <v>75.23</v>
      </c>
      <c r="P1988" s="26">
        <v>77.25</v>
      </c>
      <c r="Q1988" s="26">
        <v>78.05</v>
      </c>
      <c r="R1988" s="26">
        <v>80.150000000000006</v>
      </c>
    </row>
    <row r="1989" spans="1:18" x14ac:dyDescent="0.35">
      <c r="A1989" s="7">
        <v>45453</v>
      </c>
      <c r="L1989" s="26">
        <v>70.8</v>
      </c>
      <c r="M1989" s="26">
        <v>71.67</v>
      </c>
      <c r="N1989" s="26">
        <v>73.849999999999994</v>
      </c>
      <c r="O1989" s="26">
        <v>74.650000000000006</v>
      </c>
      <c r="P1989" s="26">
        <v>76.69</v>
      </c>
      <c r="Q1989" s="26">
        <v>77.489999999999995</v>
      </c>
      <c r="R1989" s="26">
        <v>79.599999999999994</v>
      </c>
    </row>
    <row r="1990" spans="1:18" x14ac:dyDescent="0.35">
      <c r="A1990" s="7">
        <v>45454</v>
      </c>
      <c r="L1990" s="26">
        <v>70.63</v>
      </c>
      <c r="M1990" s="26">
        <v>71.5</v>
      </c>
      <c r="N1990" s="26">
        <v>73.66</v>
      </c>
      <c r="O1990" s="26">
        <v>74.45</v>
      </c>
      <c r="P1990" s="26">
        <v>76.489999999999995</v>
      </c>
      <c r="Q1990" s="26">
        <v>77.3</v>
      </c>
      <c r="R1990" s="26">
        <v>79.42</v>
      </c>
    </row>
    <row r="1991" spans="1:18" x14ac:dyDescent="0.35">
      <c r="A1991" s="7">
        <v>45455</v>
      </c>
      <c r="L1991" s="26">
        <v>70.739999999999995</v>
      </c>
      <c r="M1991" s="26">
        <v>71.61</v>
      </c>
      <c r="N1991" s="26">
        <v>73.7</v>
      </c>
      <c r="O1991" s="26">
        <v>74.48</v>
      </c>
      <c r="P1991" s="26">
        <v>76.5</v>
      </c>
      <c r="Q1991" s="26">
        <v>77.290000000000006</v>
      </c>
      <c r="R1991" s="26">
        <v>79.38</v>
      </c>
    </row>
    <row r="1992" spans="1:18" x14ac:dyDescent="0.35">
      <c r="A1992" s="7">
        <v>45456</v>
      </c>
      <c r="L1992" s="26">
        <v>70.709999999999994</v>
      </c>
      <c r="M1992" s="26">
        <v>71.56</v>
      </c>
      <c r="N1992" s="26">
        <v>73.680000000000007</v>
      </c>
      <c r="O1992" s="26">
        <v>74.459999999999994</v>
      </c>
      <c r="P1992" s="26">
        <v>76.47</v>
      </c>
      <c r="Q1992" s="26">
        <v>77.260000000000005</v>
      </c>
      <c r="R1992" s="26">
        <v>79.349999999999994</v>
      </c>
    </row>
    <row r="1993" spans="1:18" x14ac:dyDescent="0.35">
      <c r="A1993" s="7">
        <v>45457</v>
      </c>
      <c r="L1993" s="26">
        <v>68.28</v>
      </c>
      <c r="M1993" s="26">
        <v>69.099999999999994</v>
      </c>
      <c r="N1993" s="26">
        <v>71.040000000000006</v>
      </c>
      <c r="O1993" s="26">
        <v>71.760000000000005</v>
      </c>
      <c r="P1993" s="26">
        <v>73.680000000000007</v>
      </c>
      <c r="Q1993" s="26">
        <v>74.400000000000006</v>
      </c>
      <c r="R1993" s="26">
        <v>76.41</v>
      </c>
    </row>
    <row r="1994" spans="1:18" x14ac:dyDescent="0.35">
      <c r="A1994" s="7">
        <v>45458</v>
      </c>
      <c r="L1994" s="26">
        <v>68.28</v>
      </c>
      <c r="M1994" s="26">
        <v>69.099999999999994</v>
      </c>
      <c r="N1994" s="26">
        <v>71.040000000000006</v>
      </c>
      <c r="O1994" s="26">
        <v>71.760000000000005</v>
      </c>
      <c r="P1994" s="26">
        <v>73.680000000000007</v>
      </c>
      <c r="Q1994" s="26">
        <v>74.400000000000006</v>
      </c>
      <c r="R1994" s="26">
        <v>76.41</v>
      </c>
    </row>
    <row r="1995" spans="1:18" x14ac:dyDescent="0.35">
      <c r="A1995" s="7">
        <v>45459</v>
      </c>
      <c r="L1995" s="26">
        <v>68.28</v>
      </c>
      <c r="M1995" s="26">
        <v>69.099999999999994</v>
      </c>
      <c r="N1995" s="26">
        <v>71.040000000000006</v>
      </c>
      <c r="O1995" s="26">
        <v>71.760000000000005</v>
      </c>
      <c r="P1995" s="26">
        <v>73.680000000000007</v>
      </c>
      <c r="Q1995" s="26">
        <v>74.400000000000006</v>
      </c>
      <c r="R1995" s="26">
        <v>76.41</v>
      </c>
    </row>
    <row r="1996" spans="1:18" x14ac:dyDescent="0.35">
      <c r="A1996" s="7">
        <v>45460</v>
      </c>
      <c r="L1996" s="26">
        <v>67.989999999999995</v>
      </c>
      <c r="M1996" s="26">
        <v>68.790000000000006</v>
      </c>
      <c r="N1996" s="26">
        <v>70.73</v>
      </c>
      <c r="O1996" s="26">
        <v>71.459999999999994</v>
      </c>
      <c r="P1996" s="26">
        <v>73.39</v>
      </c>
      <c r="Q1996" s="26">
        <v>74.11</v>
      </c>
      <c r="R1996" s="26">
        <v>76.12</v>
      </c>
    </row>
    <row r="1997" spans="1:18" x14ac:dyDescent="0.35">
      <c r="A1997" s="7">
        <v>45461</v>
      </c>
      <c r="L1997" s="26">
        <v>68.5</v>
      </c>
      <c r="M1997" s="26">
        <v>69.31</v>
      </c>
      <c r="N1997" s="26">
        <v>71.28</v>
      </c>
      <c r="O1997" s="26">
        <v>72.03</v>
      </c>
      <c r="P1997" s="26">
        <v>73.959999999999994</v>
      </c>
      <c r="Q1997" s="26">
        <v>74.680000000000007</v>
      </c>
      <c r="R1997" s="26">
        <v>76.69</v>
      </c>
    </row>
    <row r="1998" spans="1:18" x14ac:dyDescent="0.35">
      <c r="A1998" s="7">
        <v>45462</v>
      </c>
      <c r="L1998" s="26">
        <v>70.33</v>
      </c>
      <c r="M1998" s="26">
        <v>71.150000000000006</v>
      </c>
      <c r="N1998" s="26">
        <v>73.19</v>
      </c>
      <c r="O1998" s="26">
        <v>73.95</v>
      </c>
      <c r="P1998" s="26">
        <v>75.89</v>
      </c>
      <c r="Q1998" s="26">
        <v>76.650000000000006</v>
      </c>
      <c r="R1998" s="26">
        <v>78.7</v>
      </c>
    </row>
    <row r="1999" spans="1:18" x14ac:dyDescent="0.35">
      <c r="A1999" s="7">
        <v>45463</v>
      </c>
      <c r="L1999" s="26">
        <v>69.22</v>
      </c>
      <c r="M1999" s="26">
        <v>70.069999999999993</v>
      </c>
      <c r="N1999" s="26">
        <v>72.08</v>
      </c>
      <c r="O1999" s="26">
        <v>72.819999999999993</v>
      </c>
      <c r="P1999" s="26">
        <v>74.73</v>
      </c>
      <c r="Q1999" s="26">
        <v>75.5</v>
      </c>
      <c r="R1999" s="26">
        <v>77.55</v>
      </c>
    </row>
    <row r="2000" spans="1:18" x14ac:dyDescent="0.35">
      <c r="A2000" s="7">
        <v>45464</v>
      </c>
      <c r="L2000" s="26">
        <v>68.13</v>
      </c>
      <c r="M2000" s="26">
        <v>68.930000000000007</v>
      </c>
      <c r="N2000" s="26">
        <v>70.900000000000006</v>
      </c>
      <c r="O2000" s="26">
        <v>71.64</v>
      </c>
      <c r="P2000" s="26">
        <v>73.540000000000006</v>
      </c>
      <c r="Q2000" s="26">
        <v>74.31</v>
      </c>
      <c r="R2000" s="26">
        <v>76.36</v>
      </c>
    </row>
    <row r="2001" spans="1:18" x14ac:dyDescent="0.35">
      <c r="A2001" s="7">
        <v>45465</v>
      </c>
      <c r="L2001" s="26">
        <v>68.13</v>
      </c>
      <c r="M2001" s="26">
        <v>68.930000000000007</v>
      </c>
      <c r="N2001" s="26">
        <v>70.900000000000006</v>
      </c>
      <c r="O2001" s="26">
        <v>71.64</v>
      </c>
      <c r="P2001" s="26">
        <v>73.540000000000006</v>
      </c>
      <c r="Q2001" s="26">
        <v>74.31</v>
      </c>
      <c r="R2001" s="26">
        <v>76.36</v>
      </c>
    </row>
    <row r="2002" spans="1:18" x14ac:dyDescent="0.35">
      <c r="A2002" s="7">
        <v>45466</v>
      </c>
      <c r="L2002" s="26">
        <v>68.13</v>
      </c>
      <c r="M2002" s="26">
        <v>68.930000000000007</v>
      </c>
      <c r="N2002" s="26">
        <v>70.900000000000006</v>
      </c>
      <c r="O2002" s="26">
        <v>71.64</v>
      </c>
      <c r="P2002" s="26">
        <v>73.540000000000006</v>
      </c>
      <c r="Q2002" s="26">
        <v>74.31</v>
      </c>
      <c r="R2002" s="26">
        <v>76.36</v>
      </c>
    </row>
    <row r="2003" spans="1:18" x14ac:dyDescent="0.35">
      <c r="A2003" s="7">
        <v>45467</v>
      </c>
      <c r="L2003" s="26">
        <v>67.349999999999994</v>
      </c>
      <c r="M2003" s="26">
        <v>68.14</v>
      </c>
      <c r="N2003" s="26">
        <v>70.08</v>
      </c>
      <c r="O2003" s="26">
        <v>70.819999999999993</v>
      </c>
      <c r="P2003" s="26">
        <v>72.72</v>
      </c>
      <c r="Q2003" s="26">
        <v>73.48</v>
      </c>
      <c r="R2003" s="26">
        <v>75.510000000000005</v>
      </c>
    </row>
    <row r="2004" spans="1:18" x14ac:dyDescent="0.35">
      <c r="A2004" s="7">
        <v>45468</v>
      </c>
      <c r="L2004" s="26">
        <v>67.92</v>
      </c>
      <c r="M2004" s="26">
        <v>68.7</v>
      </c>
      <c r="N2004" s="26">
        <v>70.61</v>
      </c>
      <c r="O2004" s="26">
        <v>71.39</v>
      </c>
      <c r="P2004" s="26">
        <v>73.23</v>
      </c>
      <c r="Q2004" s="26">
        <v>73.97</v>
      </c>
      <c r="R2004" s="26">
        <v>75.989999999999995</v>
      </c>
    </row>
    <row r="2005" spans="1:18" x14ac:dyDescent="0.35">
      <c r="A2005" s="7">
        <v>45469</v>
      </c>
      <c r="L2005" s="26">
        <v>66.930000000000007</v>
      </c>
      <c r="M2005" s="26">
        <v>67.73</v>
      </c>
      <c r="N2005" s="26">
        <v>69.62</v>
      </c>
      <c r="O2005" s="26">
        <v>70.42</v>
      </c>
      <c r="P2005" s="26">
        <v>72.290000000000006</v>
      </c>
      <c r="Q2005" s="26">
        <v>73.03</v>
      </c>
      <c r="R2005" s="26">
        <v>75.06</v>
      </c>
    </row>
    <row r="2006" spans="1:18" x14ac:dyDescent="0.35">
      <c r="A2006" s="7">
        <v>45470</v>
      </c>
      <c r="L2006" s="26">
        <v>66.67</v>
      </c>
      <c r="M2006" s="26">
        <v>67.459999999999994</v>
      </c>
      <c r="N2006" s="26">
        <v>69.36</v>
      </c>
      <c r="O2006" s="26">
        <v>70.14</v>
      </c>
      <c r="P2006" s="26">
        <v>71.97</v>
      </c>
      <c r="Q2006" s="26">
        <v>72.680000000000007</v>
      </c>
      <c r="R2006" s="26">
        <v>74.7</v>
      </c>
    </row>
    <row r="2007" spans="1:18" x14ac:dyDescent="0.35">
      <c r="A2007" s="7">
        <v>45471</v>
      </c>
      <c r="L2007" s="26">
        <v>67.47</v>
      </c>
      <c r="M2007" s="26">
        <v>68.260000000000005</v>
      </c>
      <c r="N2007" s="26">
        <v>70.19</v>
      </c>
      <c r="O2007" s="26">
        <v>70.97</v>
      </c>
      <c r="P2007" s="26">
        <v>72.83</v>
      </c>
      <c r="Q2007" s="26">
        <v>73.53</v>
      </c>
      <c r="R2007" s="26">
        <v>75.540000000000006</v>
      </c>
    </row>
    <row r="2008" spans="1:18" x14ac:dyDescent="0.35">
      <c r="A2008" s="7">
        <v>45472</v>
      </c>
      <c r="L2008" s="26">
        <v>67.47</v>
      </c>
      <c r="M2008" s="26">
        <v>68.260000000000005</v>
      </c>
      <c r="N2008" s="26">
        <v>70.19</v>
      </c>
      <c r="O2008" s="26">
        <v>70.97</v>
      </c>
      <c r="P2008" s="26">
        <v>72.83</v>
      </c>
      <c r="Q2008" s="26">
        <v>73.53</v>
      </c>
      <c r="R2008" s="26">
        <v>75.540000000000006</v>
      </c>
    </row>
    <row r="2009" spans="1:18" x14ac:dyDescent="0.35">
      <c r="A2009" s="7">
        <v>45473</v>
      </c>
      <c r="L2009" s="26">
        <v>67.47</v>
      </c>
      <c r="M2009" s="26">
        <v>68.260000000000005</v>
      </c>
      <c r="N2009" s="26">
        <v>70.19</v>
      </c>
      <c r="O2009" s="26">
        <v>70.97</v>
      </c>
      <c r="P2009" s="26">
        <v>72.83</v>
      </c>
      <c r="Q2009" s="26">
        <v>73.53</v>
      </c>
      <c r="R2009" s="26">
        <v>75.540000000000006</v>
      </c>
    </row>
    <row r="2010" spans="1:18" x14ac:dyDescent="0.35">
      <c r="A2010" s="7">
        <v>45474</v>
      </c>
      <c r="L2010" s="26">
        <v>68.05</v>
      </c>
      <c r="M2010" s="26">
        <v>68.86</v>
      </c>
      <c r="N2010" s="26">
        <v>70.83</v>
      </c>
      <c r="O2010" s="26">
        <v>71.62</v>
      </c>
      <c r="P2010" s="26">
        <v>73.55</v>
      </c>
      <c r="Q2010" s="26">
        <v>74.28</v>
      </c>
      <c r="R2010" s="26">
        <v>76.319999999999993</v>
      </c>
    </row>
    <row r="2011" spans="1:18" x14ac:dyDescent="0.35">
      <c r="A2011" s="7">
        <v>45475</v>
      </c>
      <c r="L2011" s="26">
        <v>70.67</v>
      </c>
      <c r="M2011" s="26">
        <v>71.489999999999995</v>
      </c>
      <c r="N2011" s="26">
        <v>73.52</v>
      </c>
      <c r="O2011" s="26">
        <v>74.31</v>
      </c>
      <c r="P2011" s="26">
        <v>76.319999999999993</v>
      </c>
      <c r="Q2011" s="26">
        <v>77.069999999999993</v>
      </c>
      <c r="R2011" s="26">
        <v>79.13</v>
      </c>
    </row>
    <row r="2012" spans="1:18" x14ac:dyDescent="0.35">
      <c r="A2012" s="7">
        <v>45476</v>
      </c>
      <c r="L2012" s="26">
        <v>70.760000000000005</v>
      </c>
      <c r="M2012" s="26">
        <v>71.59</v>
      </c>
      <c r="N2012" s="26">
        <v>73.64</v>
      </c>
      <c r="O2012" s="26">
        <v>74.430000000000007</v>
      </c>
      <c r="P2012" s="26">
        <v>76.47</v>
      </c>
      <c r="Q2012" s="26">
        <v>77.22</v>
      </c>
      <c r="R2012" s="26">
        <v>79.349999999999994</v>
      </c>
    </row>
    <row r="2013" spans="1:18" x14ac:dyDescent="0.35">
      <c r="A2013" s="7">
        <v>45477</v>
      </c>
      <c r="L2013" s="26">
        <v>70.069999999999993</v>
      </c>
      <c r="M2013" s="26">
        <v>70.94</v>
      </c>
      <c r="N2013" s="26">
        <v>72.959999999999994</v>
      </c>
      <c r="O2013" s="26">
        <v>73.77</v>
      </c>
      <c r="P2013" s="26">
        <v>75.78</v>
      </c>
      <c r="Q2013" s="26">
        <v>76.61</v>
      </c>
      <c r="R2013" s="26">
        <v>78.819999999999993</v>
      </c>
    </row>
    <row r="2014" spans="1:18" x14ac:dyDescent="0.35">
      <c r="A2014" s="7">
        <v>45478</v>
      </c>
      <c r="L2014" s="26">
        <v>70.36</v>
      </c>
      <c r="M2014" s="26">
        <v>71.209999999999994</v>
      </c>
      <c r="N2014" s="26">
        <v>73.23</v>
      </c>
      <c r="O2014" s="26">
        <v>74.040000000000006</v>
      </c>
      <c r="P2014" s="26">
        <v>76.03</v>
      </c>
      <c r="Q2014" s="26">
        <v>76.84</v>
      </c>
      <c r="R2014" s="26">
        <v>79.05</v>
      </c>
    </row>
    <row r="2015" spans="1:18" x14ac:dyDescent="0.35">
      <c r="A2015" s="7">
        <v>45479</v>
      </c>
      <c r="L2015" s="26">
        <v>70.36</v>
      </c>
      <c r="M2015" s="26">
        <v>71.209999999999994</v>
      </c>
      <c r="N2015" s="26">
        <v>73.23</v>
      </c>
      <c r="O2015" s="26">
        <v>74.040000000000006</v>
      </c>
      <c r="P2015" s="26">
        <v>76.03</v>
      </c>
      <c r="Q2015" s="26">
        <v>76.84</v>
      </c>
      <c r="R2015" s="26">
        <v>79.05</v>
      </c>
    </row>
    <row r="2016" spans="1:18" x14ac:dyDescent="0.35">
      <c r="A2016" s="7">
        <v>45480</v>
      </c>
      <c r="L2016" s="26">
        <v>70.36</v>
      </c>
      <c r="M2016" s="26">
        <v>71.209999999999994</v>
      </c>
      <c r="N2016" s="26">
        <v>73.23</v>
      </c>
      <c r="O2016" s="26">
        <v>74.040000000000006</v>
      </c>
      <c r="P2016" s="26">
        <v>76.03</v>
      </c>
      <c r="Q2016" s="26">
        <v>76.84</v>
      </c>
      <c r="R2016" s="26">
        <v>79.05</v>
      </c>
    </row>
    <row r="2017" spans="1:18" x14ac:dyDescent="0.35">
      <c r="A2017" s="7">
        <v>45481</v>
      </c>
      <c r="L2017" s="26">
        <v>68.989999999999995</v>
      </c>
      <c r="M2017" s="26">
        <v>69.819999999999993</v>
      </c>
      <c r="N2017" s="26">
        <v>71.790000000000006</v>
      </c>
      <c r="O2017" s="26">
        <v>72.55</v>
      </c>
      <c r="P2017" s="26">
        <v>74.540000000000006</v>
      </c>
      <c r="Q2017" s="26">
        <v>75.27</v>
      </c>
      <c r="R2017" s="26">
        <v>77.400000000000006</v>
      </c>
    </row>
    <row r="2018" spans="1:18" x14ac:dyDescent="0.35">
      <c r="A2018" s="7">
        <v>45482</v>
      </c>
      <c r="L2018" s="26">
        <v>68.56</v>
      </c>
      <c r="M2018" s="26">
        <v>69.39</v>
      </c>
      <c r="N2018" s="26">
        <v>71.36</v>
      </c>
      <c r="O2018" s="26">
        <v>72.11</v>
      </c>
      <c r="P2018" s="26">
        <v>74.12</v>
      </c>
      <c r="Q2018" s="26">
        <v>74.87</v>
      </c>
      <c r="R2018" s="26">
        <v>77.02</v>
      </c>
    </row>
    <row r="2019" spans="1:18" x14ac:dyDescent="0.35">
      <c r="A2019" s="7">
        <v>45483</v>
      </c>
      <c r="L2019" s="26">
        <v>67.959999999999994</v>
      </c>
      <c r="M2019" s="26">
        <v>68.790000000000006</v>
      </c>
      <c r="N2019" s="26">
        <v>70.739999999999995</v>
      </c>
      <c r="O2019" s="26">
        <v>71.489999999999995</v>
      </c>
      <c r="P2019" s="26">
        <v>73.489999999999995</v>
      </c>
      <c r="Q2019" s="26">
        <v>74.23</v>
      </c>
      <c r="R2019" s="26">
        <v>76.37</v>
      </c>
    </row>
    <row r="2020" spans="1:18" x14ac:dyDescent="0.35">
      <c r="A2020" s="7">
        <v>45484</v>
      </c>
      <c r="L2020" s="26">
        <v>68.37</v>
      </c>
      <c r="M2020" s="26">
        <v>69.16</v>
      </c>
      <c r="N2020" s="26">
        <v>71.11</v>
      </c>
      <c r="O2020" s="26">
        <v>71.84</v>
      </c>
      <c r="P2020" s="26">
        <v>73.77</v>
      </c>
      <c r="Q2020" s="26">
        <v>74.5</v>
      </c>
      <c r="R2020" s="26">
        <v>76.62</v>
      </c>
    </row>
    <row r="2021" spans="1:18" x14ac:dyDescent="0.35">
      <c r="A2021" s="7">
        <v>45485</v>
      </c>
      <c r="L2021" s="26">
        <v>69.19</v>
      </c>
      <c r="M2021" s="26">
        <v>69.989999999999995</v>
      </c>
      <c r="N2021" s="26">
        <v>71.91</v>
      </c>
      <c r="O2021" s="26">
        <v>72.64</v>
      </c>
      <c r="P2021" s="26">
        <v>74.56</v>
      </c>
      <c r="Q2021" s="26">
        <v>75.3</v>
      </c>
      <c r="R2021" s="26">
        <v>77.430000000000007</v>
      </c>
    </row>
    <row r="2022" spans="1:18" x14ac:dyDescent="0.35">
      <c r="A2022" s="7">
        <v>45486</v>
      </c>
      <c r="L2022" s="26">
        <v>69.19</v>
      </c>
      <c r="M2022" s="26">
        <v>69.989999999999995</v>
      </c>
      <c r="N2022" s="26">
        <v>71.91</v>
      </c>
      <c r="O2022" s="26">
        <v>72.64</v>
      </c>
      <c r="P2022" s="26">
        <v>74.56</v>
      </c>
      <c r="Q2022" s="26">
        <v>75.3</v>
      </c>
      <c r="R2022" s="26">
        <v>77.430000000000007</v>
      </c>
    </row>
    <row r="2023" spans="1:18" x14ac:dyDescent="0.35">
      <c r="A2023" s="7">
        <v>45487</v>
      </c>
      <c r="L2023" s="26">
        <v>69.19</v>
      </c>
      <c r="M2023" s="26">
        <v>69.989999999999995</v>
      </c>
      <c r="N2023" s="26">
        <v>71.91</v>
      </c>
      <c r="O2023" s="26">
        <v>72.64</v>
      </c>
      <c r="P2023" s="26">
        <v>74.56</v>
      </c>
      <c r="Q2023" s="26">
        <v>75.3</v>
      </c>
      <c r="R2023" s="26">
        <v>77.430000000000007</v>
      </c>
    </row>
    <row r="2024" spans="1:18" x14ac:dyDescent="0.35">
      <c r="A2024" s="7">
        <v>45488</v>
      </c>
      <c r="L2024" s="26">
        <v>67.64</v>
      </c>
      <c r="M2024" s="26">
        <v>68.44</v>
      </c>
      <c r="N2024" s="26">
        <v>70.319999999999993</v>
      </c>
      <c r="O2024" s="26">
        <v>71.069999999999993</v>
      </c>
      <c r="P2024" s="26">
        <v>72.959999999999994</v>
      </c>
      <c r="Q2024" s="26">
        <v>73.66</v>
      </c>
      <c r="R2024" s="26">
        <v>75.75</v>
      </c>
    </row>
    <row r="2025" spans="1:18" x14ac:dyDescent="0.35">
      <c r="A2025" s="7">
        <v>45489</v>
      </c>
      <c r="L2025" s="26">
        <v>68.02</v>
      </c>
      <c r="M2025" s="26">
        <v>68.819999999999993</v>
      </c>
      <c r="N2025" s="26">
        <v>70.650000000000006</v>
      </c>
      <c r="O2025" s="26">
        <v>71.41</v>
      </c>
      <c r="P2025" s="26">
        <v>73.260000000000005</v>
      </c>
      <c r="Q2025" s="26">
        <v>73.959999999999994</v>
      </c>
      <c r="R2025" s="26">
        <v>76.03</v>
      </c>
    </row>
    <row r="2026" spans="1:18" x14ac:dyDescent="0.35">
      <c r="A2026" s="7">
        <v>45490</v>
      </c>
      <c r="L2026" s="26">
        <v>64.540000000000006</v>
      </c>
      <c r="M2026" s="26">
        <v>67.36</v>
      </c>
      <c r="N2026" s="26">
        <v>69.16</v>
      </c>
      <c r="O2026" s="26">
        <v>69.91</v>
      </c>
      <c r="P2026" s="26">
        <v>71.7</v>
      </c>
      <c r="Q2026" s="26">
        <v>72.400000000000006</v>
      </c>
      <c r="R2026" s="26">
        <v>74.5</v>
      </c>
    </row>
    <row r="2027" spans="1:18" x14ac:dyDescent="0.35">
      <c r="A2027" s="7">
        <v>45491</v>
      </c>
      <c r="L2027" s="26">
        <v>66.44</v>
      </c>
      <c r="M2027" s="26">
        <v>67.25</v>
      </c>
      <c r="N2027" s="26">
        <v>69.03</v>
      </c>
      <c r="O2027" s="26">
        <v>69.78</v>
      </c>
      <c r="P2027" s="26">
        <v>71.569999999999993</v>
      </c>
      <c r="Q2027" s="26">
        <v>72.239999999999995</v>
      </c>
      <c r="R2027" s="26">
        <v>74.290000000000006</v>
      </c>
    </row>
    <row r="2028" spans="1:18" x14ac:dyDescent="0.35">
      <c r="A2028" s="7">
        <v>45492</v>
      </c>
      <c r="L2028" s="26">
        <v>66.3</v>
      </c>
      <c r="M2028" s="26">
        <v>67.099999999999994</v>
      </c>
      <c r="N2028" s="26">
        <v>68.88</v>
      </c>
      <c r="O2028" s="26">
        <v>69.63</v>
      </c>
      <c r="P2028" s="26">
        <v>71.44</v>
      </c>
      <c r="Q2028" s="26">
        <v>72.16</v>
      </c>
      <c r="R2028" s="26">
        <v>74.3</v>
      </c>
    </row>
    <row r="2029" spans="1:18" x14ac:dyDescent="0.35">
      <c r="A2029" s="7">
        <v>45493</v>
      </c>
      <c r="L2029" s="26">
        <v>66.3</v>
      </c>
      <c r="M2029" s="26">
        <v>67.099999999999994</v>
      </c>
      <c r="N2029" s="26">
        <v>68.88</v>
      </c>
      <c r="O2029" s="26">
        <v>69.63</v>
      </c>
      <c r="P2029" s="26">
        <v>71.44</v>
      </c>
      <c r="Q2029" s="26">
        <v>72.16</v>
      </c>
      <c r="R2029" s="26">
        <v>74.3</v>
      </c>
    </row>
    <row r="2030" spans="1:18" x14ac:dyDescent="0.35">
      <c r="A2030" s="7">
        <v>45494</v>
      </c>
      <c r="L2030" s="26">
        <v>66.3</v>
      </c>
      <c r="M2030" s="26">
        <v>67.099999999999994</v>
      </c>
      <c r="N2030" s="26">
        <v>68.88</v>
      </c>
      <c r="O2030" s="26">
        <v>69.63</v>
      </c>
      <c r="P2030" s="26">
        <v>71.44</v>
      </c>
      <c r="Q2030" s="26">
        <v>72.16</v>
      </c>
      <c r="R2030" s="26">
        <v>74.3</v>
      </c>
    </row>
    <row r="2031" spans="1:18" x14ac:dyDescent="0.35">
      <c r="A2031" s="7">
        <v>45495</v>
      </c>
      <c r="L2031" s="26">
        <v>64.72</v>
      </c>
      <c r="M2031" s="26">
        <v>65.5</v>
      </c>
      <c r="N2031" s="26">
        <v>67.260000000000005</v>
      </c>
      <c r="O2031" s="26">
        <v>67.989999999999995</v>
      </c>
      <c r="P2031" s="26">
        <v>69.73</v>
      </c>
      <c r="Q2031" s="26">
        <v>70.61</v>
      </c>
      <c r="R2031" s="26">
        <v>72.7</v>
      </c>
    </row>
    <row r="2032" spans="1:18" x14ac:dyDescent="0.35">
      <c r="A2032" s="7">
        <v>45496</v>
      </c>
      <c r="L2032" s="26">
        <v>65.73</v>
      </c>
      <c r="M2032" s="26">
        <v>66.510000000000005</v>
      </c>
      <c r="N2032" s="26">
        <v>68.28</v>
      </c>
      <c r="O2032" s="26">
        <v>69.03</v>
      </c>
      <c r="P2032" s="26">
        <v>70.8</v>
      </c>
      <c r="Q2032" s="26">
        <v>71.680000000000007</v>
      </c>
      <c r="R2032" s="26">
        <v>73.77</v>
      </c>
    </row>
    <row r="2033" spans="1:18" x14ac:dyDescent="0.35">
      <c r="A2033" s="7">
        <v>45497</v>
      </c>
      <c r="L2033" s="26">
        <v>68.41</v>
      </c>
      <c r="M2033" s="26">
        <v>69.2</v>
      </c>
      <c r="N2033" s="26">
        <v>70.989999999999995</v>
      </c>
      <c r="O2033" s="26">
        <v>71.739999999999995</v>
      </c>
      <c r="P2033" s="26">
        <v>73.510000000000005</v>
      </c>
      <c r="Q2033" s="26">
        <v>74.430000000000007</v>
      </c>
      <c r="R2033" s="26">
        <v>76.569999999999993</v>
      </c>
    </row>
    <row r="2034" spans="1:18" x14ac:dyDescent="0.35">
      <c r="A2034" s="7">
        <v>45498</v>
      </c>
      <c r="L2034" s="26">
        <v>66.81</v>
      </c>
      <c r="M2034" s="26">
        <v>67.59</v>
      </c>
      <c r="N2034" s="26">
        <v>69.34</v>
      </c>
      <c r="O2034" s="26">
        <v>70.08</v>
      </c>
      <c r="P2034" s="26">
        <v>71.819999999999993</v>
      </c>
      <c r="Q2034" s="26">
        <v>72.78</v>
      </c>
      <c r="R2034" s="26">
        <v>74.959999999999994</v>
      </c>
    </row>
    <row r="2035" spans="1:18" x14ac:dyDescent="0.35">
      <c r="A2035" s="7">
        <v>45499</v>
      </c>
      <c r="L2035" s="26">
        <v>67.87</v>
      </c>
      <c r="M2035" s="26"/>
      <c r="N2035" s="26">
        <v>70.44</v>
      </c>
      <c r="O2035" s="26"/>
      <c r="P2035" s="26">
        <v>72.97</v>
      </c>
      <c r="Q2035" s="26"/>
      <c r="R2035" s="26">
        <v>76.09</v>
      </c>
    </row>
    <row r="2036" spans="1:18" x14ac:dyDescent="0.35">
      <c r="A2036" s="7">
        <v>45500</v>
      </c>
      <c r="L2036" s="26">
        <v>67.87</v>
      </c>
      <c r="M2036" s="26"/>
      <c r="N2036" s="26">
        <v>70.44</v>
      </c>
      <c r="O2036" s="26"/>
      <c r="P2036" s="26">
        <v>72.97</v>
      </c>
      <c r="Q2036" s="26"/>
      <c r="R2036" s="26">
        <v>76.09</v>
      </c>
    </row>
    <row r="2037" spans="1:18" x14ac:dyDescent="0.35">
      <c r="A2037" s="7">
        <v>45501</v>
      </c>
      <c r="L2037" s="26">
        <v>67.87</v>
      </c>
      <c r="M2037" s="26"/>
      <c r="N2037" s="26">
        <v>70.44</v>
      </c>
      <c r="O2037" s="26"/>
      <c r="P2037" s="26">
        <v>72.97</v>
      </c>
      <c r="Q2037" s="26"/>
      <c r="R2037" s="26">
        <v>76.09</v>
      </c>
    </row>
    <row r="2038" spans="1:18" x14ac:dyDescent="0.35">
      <c r="A2038" s="7">
        <v>45502</v>
      </c>
      <c r="L2038" s="26">
        <v>68.69</v>
      </c>
      <c r="M2038" s="26"/>
      <c r="N2038" s="26">
        <v>71.239999999999995</v>
      </c>
      <c r="O2038" s="26"/>
      <c r="P2038" s="26">
        <v>73.77</v>
      </c>
      <c r="Q2038" s="26"/>
      <c r="R2038" s="26">
        <v>76.89</v>
      </c>
    </row>
    <row r="2039" spans="1:18" x14ac:dyDescent="0.35">
      <c r="A2039" s="7">
        <v>45503</v>
      </c>
      <c r="L2039" s="26">
        <v>68.64</v>
      </c>
      <c r="M2039" s="26"/>
      <c r="N2039" s="26">
        <v>71.180000000000007</v>
      </c>
      <c r="O2039" s="26"/>
      <c r="P2039" s="26">
        <v>73.73</v>
      </c>
      <c r="Q2039" s="26"/>
      <c r="R2039" s="26">
        <v>76.790000000000006</v>
      </c>
    </row>
    <row r="2040" spans="1:18" x14ac:dyDescent="0.35">
      <c r="A2040" s="7">
        <v>45504</v>
      </c>
      <c r="L2040" s="26">
        <v>69.209999999999994</v>
      </c>
      <c r="M2040" s="26"/>
      <c r="N2040" s="26">
        <v>71.75</v>
      </c>
      <c r="O2040" s="26"/>
      <c r="P2040" s="26">
        <v>74.22</v>
      </c>
      <c r="Q2040" s="26"/>
      <c r="R2040" s="26">
        <v>77.38</v>
      </c>
    </row>
    <row r="2041" spans="1:18" x14ac:dyDescent="0.35">
      <c r="A2041" s="7">
        <v>45505</v>
      </c>
      <c r="L2041" s="26">
        <v>71.180000000000007</v>
      </c>
      <c r="M2041" s="26"/>
      <c r="N2041" s="26">
        <v>73.73</v>
      </c>
      <c r="O2041" s="26"/>
      <c r="P2041" s="26">
        <v>76.25</v>
      </c>
      <c r="Q2041" s="26"/>
      <c r="R2041" s="26">
        <v>79.45</v>
      </c>
    </row>
    <row r="2042" spans="1:18" x14ac:dyDescent="0.35">
      <c r="A2042" s="7">
        <v>45506</v>
      </c>
      <c r="L2042" s="26">
        <v>70.58</v>
      </c>
      <c r="M2042" s="26"/>
      <c r="N2042" s="26">
        <v>73.040000000000006</v>
      </c>
      <c r="O2042" s="26"/>
      <c r="P2042" s="26">
        <v>75.5</v>
      </c>
      <c r="Q2042" s="26"/>
      <c r="R2042" s="26">
        <v>78.64</v>
      </c>
    </row>
    <row r="2043" spans="1:18" x14ac:dyDescent="0.35">
      <c r="A2043" s="7">
        <v>45507</v>
      </c>
      <c r="L2043" s="26">
        <v>70.58</v>
      </c>
      <c r="M2043" s="26"/>
      <c r="N2043" s="26">
        <v>73.040000000000006</v>
      </c>
      <c r="O2043" s="26"/>
      <c r="P2043" s="26">
        <v>75.5</v>
      </c>
      <c r="Q2043" s="26"/>
      <c r="R2043" s="26">
        <v>78.64</v>
      </c>
    </row>
    <row r="2044" spans="1:18" x14ac:dyDescent="0.35">
      <c r="A2044" s="7">
        <v>45508</v>
      </c>
      <c r="L2044" s="26">
        <v>70.58</v>
      </c>
      <c r="M2044" s="26"/>
      <c r="N2044" s="26">
        <v>73.040000000000006</v>
      </c>
      <c r="O2044" s="26"/>
      <c r="P2044" s="26">
        <v>75.5</v>
      </c>
      <c r="Q2044" s="26"/>
      <c r="R2044" s="26">
        <v>78.64</v>
      </c>
    </row>
    <row r="2045" spans="1:18" x14ac:dyDescent="0.35">
      <c r="A2045" s="7">
        <v>45509</v>
      </c>
      <c r="L2045" s="26">
        <v>68.73</v>
      </c>
      <c r="M2045" s="26"/>
      <c r="N2045" s="26">
        <v>71.099999999999994</v>
      </c>
      <c r="O2045" s="26"/>
      <c r="P2045" s="26">
        <v>73.45</v>
      </c>
      <c r="Q2045" s="26"/>
      <c r="R2045" s="26">
        <v>76.25</v>
      </c>
    </row>
    <row r="2046" spans="1:18" x14ac:dyDescent="0.35">
      <c r="A2046" s="7">
        <v>45510</v>
      </c>
      <c r="L2046" s="26">
        <v>69.959999999999994</v>
      </c>
      <c r="M2046" s="26"/>
      <c r="N2046" s="26">
        <v>72.39</v>
      </c>
      <c r="O2046" s="26"/>
      <c r="P2046" s="26">
        <v>74.81</v>
      </c>
      <c r="Q2046" s="26"/>
      <c r="R2046" s="26">
        <v>77.61</v>
      </c>
    </row>
    <row r="2047" spans="1:18" x14ac:dyDescent="0.35">
      <c r="A2047" s="7">
        <v>45511</v>
      </c>
      <c r="L2047" s="26">
        <v>70.569999999999993</v>
      </c>
      <c r="M2047" s="26"/>
      <c r="N2047" s="26">
        <v>73.040000000000006</v>
      </c>
      <c r="O2047" s="26"/>
      <c r="P2047" s="26">
        <v>75.52</v>
      </c>
      <c r="Q2047" s="26"/>
      <c r="R2047" s="26">
        <v>78.31</v>
      </c>
    </row>
    <row r="2048" spans="1:18" x14ac:dyDescent="0.35">
      <c r="A2048" s="7">
        <v>45512</v>
      </c>
      <c r="L2048" s="26">
        <v>71.06</v>
      </c>
      <c r="M2048" s="26"/>
      <c r="N2048" s="26">
        <v>73.540000000000006</v>
      </c>
      <c r="O2048" s="26"/>
      <c r="P2048" s="26">
        <v>76.010000000000005</v>
      </c>
      <c r="Q2048" s="26"/>
      <c r="R2048" s="26">
        <v>78.8</v>
      </c>
    </row>
    <row r="2049" spans="1:20" x14ac:dyDescent="0.35">
      <c r="A2049" s="7">
        <v>45513</v>
      </c>
      <c r="L2049" s="26">
        <v>70.14</v>
      </c>
      <c r="M2049" s="26"/>
      <c r="N2049" s="26">
        <v>72.61</v>
      </c>
      <c r="O2049" s="26"/>
      <c r="P2049" s="26">
        <v>75.040000000000006</v>
      </c>
      <c r="Q2049" s="26"/>
      <c r="R2049" s="26">
        <v>77.83</v>
      </c>
    </row>
    <row r="2050" spans="1:20" x14ac:dyDescent="0.35">
      <c r="A2050" s="7">
        <v>45514</v>
      </c>
      <c r="L2050" s="26">
        <v>70.14</v>
      </c>
      <c r="M2050" s="26"/>
      <c r="N2050" s="26">
        <v>72.61</v>
      </c>
      <c r="O2050" s="26"/>
      <c r="P2050" s="26">
        <v>75.040000000000006</v>
      </c>
      <c r="Q2050" s="26"/>
      <c r="R2050" s="26">
        <v>77.83</v>
      </c>
    </row>
    <row r="2051" spans="1:20" x14ac:dyDescent="0.35">
      <c r="A2051" s="7">
        <v>45515</v>
      </c>
      <c r="L2051" s="26">
        <v>70.14</v>
      </c>
      <c r="M2051" s="26"/>
      <c r="N2051" s="26">
        <v>72.61</v>
      </c>
      <c r="O2051" s="26"/>
      <c r="P2051" s="26">
        <v>75.040000000000006</v>
      </c>
      <c r="Q2051" s="26"/>
      <c r="R2051" s="26">
        <v>77.83</v>
      </c>
    </row>
    <row r="2052" spans="1:20" x14ac:dyDescent="0.35">
      <c r="A2052" s="7">
        <v>45516</v>
      </c>
      <c r="L2052" s="26">
        <v>72.650000000000006</v>
      </c>
      <c r="M2052" s="26"/>
      <c r="N2052" s="26">
        <v>75.180000000000007</v>
      </c>
      <c r="O2052" s="26"/>
      <c r="P2052" s="26">
        <v>77.680000000000007</v>
      </c>
      <c r="Q2052" s="26"/>
      <c r="R2052" s="26">
        <v>80.510000000000005</v>
      </c>
    </row>
    <row r="2053" spans="1:20" x14ac:dyDescent="0.35">
      <c r="A2053" s="7">
        <v>45517</v>
      </c>
      <c r="L2053" s="11">
        <f>AVERAGE(L2052,L2054)</f>
        <v>72.260000000000005</v>
      </c>
      <c r="M2053" s="11"/>
      <c r="N2053" s="11">
        <f>AVERAGE(N2052,N2054)</f>
        <v>74.77000000000001</v>
      </c>
      <c r="O2053" s="11"/>
      <c r="P2053" s="11">
        <f>AVERAGE(P2052,P2054)</f>
        <v>77.25</v>
      </c>
      <c r="Q2053" s="11"/>
      <c r="R2053" s="11">
        <f>AVERAGE(R2052,R2054)</f>
        <v>80.09</v>
      </c>
    </row>
    <row r="2054" spans="1:20" x14ac:dyDescent="0.35">
      <c r="A2054" s="7">
        <v>45518</v>
      </c>
      <c r="L2054" s="26">
        <f>L2055-0.24</f>
        <v>71.87</v>
      </c>
      <c r="M2054" s="26"/>
      <c r="N2054" s="26">
        <f>N2055-0.25</f>
        <v>74.36</v>
      </c>
      <c r="O2054" s="26"/>
      <c r="P2054" s="26">
        <f>P2055-0.26</f>
        <v>76.819999999999993</v>
      </c>
      <c r="Q2054" s="26"/>
      <c r="R2054" s="26">
        <f>R2055-0.26</f>
        <v>79.67</v>
      </c>
    </row>
    <row r="2055" spans="1:20" x14ac:dyDescent="0.35">
      <c r="A2055" s="7">
        <v>45519</v>
      </c>
      <c r="L2055" s="26">
        <v>72.11</v>
      </c>
      <c r="M2055" s="26"/>
      <c r="N2055" s="26">
        <v>74.61</v>
      </c>
      <c r="O2055" s="26"/>
      <c r="P2055" s="26">
        <v>77.08</v>
      </c>
      <c r="Q2055" s="26"/>
      <c r="R2055" s="26">
        <v>79.930000000000007</v>
      </c>
    </row>
    <row r="2056" spans="1:20" x14ac:dyDescent="0.35">
      <c r="A2056" s="7">
        <v>45520</v>
      </c>
      <c r="L2056" s="26">
        <v>72.52</v>
      </c>
      <c r="M2056" s="26"/>
      <c r="N2056" s="26">
        <v>75.08</v>
      </c>
      <c r="O2056" s="26"/>
      <c r="P2056" s="26">
        <v>77.61</v>
      </c>
      <c r="Q2056" s="26"/>
      <c r="R2056" s="26">
        <v>80.459999999999994</v>
      </c>
    </row>
    <row r="2057" spans="1:20" x14ac:dyDescent="0.35">
      <c r="A2057" s="7">
        <v>45521</v>
      </c>
      <c r="L2057" s="26">
        <v>72.52</v>
      </c>
      <c r="M2057" s="26"/>
      <c r="N2057" s="26">
        <v>75.08</v>
      </c>
      <c r="O2057" s="26"/>
      <c r="P2057" s="26">
        <v>77.61</v>
      </c>
      <c r="Q2057" s="26"/>
      <c r="R2057" s="26">
        <v>80.459999999999994</v>
      </c>
    </row>
    <row r="2058" spans="1:20" x14ac:dyDescent="0.35">
      <c r="A2058" s="7">
        <v>45522</v>
      </c>
      <c r="L2058" s="26">
        <v>72.52</v>
      </c>
      <c r="M2058" s="26"/>
      <c r="N2058" s="26">
        <v>75.08</v>
      </c>
      <c r="O2058" s="26"/>
      <c r="P2058" s="26">
        <v>77.61</v>
      </c>
      <c r="Q2058" s="26"/>
      <c r="R2058" s="26">
        <v>80.459999999999994</v>
      </c>
    </row>
    <row r="2059" spans="1:20" x14ac:dyDescent="0.35">
      <c r="A2059" s="7">
        <v>45523</v>
      </c>
      <c r="L2059" s="26">
        <v>73.14</v>
      </c>
      <c r="M2059" s="26"/>
      <c r="N2059" s="26">
        <v>75.72</v>
      </c>
      <c r="O2059" s="26"/>
      <c r="P2059" s="26">
        <v>78.27</v>
      </c>
      <c r="Q2059" s="26"/>
      <c r="R2059" s="26">
        <v>81.12</v>
      </c>
    </row>
    <row r="2060" spans="1:20" x14ac:dyDescent="0.35">
      <c r="A2060" s="7">
        <v>45524</v>
      </c>
      <c r="L2060" s="26">
        <v>73.069999999999993</v>
      </c>
      <c r="M2060" s="26"/>
      <c r="N2060" s="26">
        <v>75.67</v>
      </c>
      <c r="O2060" s="26"/>
      <c r="P2060" s="26">
        <v>78.19</v>
      </c>
      <c r="Q2060" s="26"/>
      <c r="R2060" s="26">
        <v>80.97</v>
      </c>
      <c r="T2060" s="26">
        <v>80.17</v>
      </c>
    </row>
    <row r="2061" spans="1:20" x14ac:dyDescent="0.35">
      <c r="A2061" s="7">
        <v>45525</v>
      </c>
      <c r="L2061" s="26">
        <v>72.14</v>
      </c>
      <c r="M2061" s="26"/>
      <c r="N2061" s="26">
        <v>74.69</v>
      </c>
      <c r="O2061" s="26"/>
      <c r="P2061" s="26">
        <v>77.2</v>
      </c>
      <c r="Q2061" s="26"/>
      <c r="R2061" s="26">
        <v>79.989999999999995</v>
      </c>
      <c r="T2061" s="26">
        <v>79.19</v>
      </c>
    </row>
    <row r="2062" spans="1:20" x14ac:dyDescent="0.35">
      <c r="A2062" s="7">
        <v>45526</v>
      </c>
      <c r="L2062" s="26">
        <v>71.569999999999993</v>
      </c>
      <c r="M2062" s="26"/>
      <c r="N2062" s="26">
        <v>74.05</v>
      </c>
      <c r="O2062" s="26"/>
      <c r="P2062" s="26">
        <v>76.56</v>
      </c>
      <c r="Q2062" s="26"/>
      <c r="R2062" s="26">
        <v>79.37</v>
      </c>
      <c r="T2062" s="26">
        <v>78.569999999999993</v>
      </c>
    </row>
    <row r="2063" spans="1:20" x14ac:dyDescent="0.35">
      <c r="A2063" s="7">
        <v>45527</v>
      </c>
      <c r="L2063" s="26">
        <v>71.13</v>
      </c>
      <c r="M2063" s="26"/>
      <c r="N2063" s="26">
        <v>73.59</v>
      </c>
      <c r="O2063" s="26"/>
      <c r="P2063" s="26">
        <v>76.069999999999993</v>
      </c>
      <c r="Q2063" s="26"/>
      <c r="R2063" s="26">
        <v>78.88</v>
      </c>
      <c r="T2063" s="26">
        <v>78.11</v>
      </c>
    </row>
    <row r="2064" spans="1:20" x14ac:dyDescent="0.35">
      <c r="A2064" s="7">
        <v>45528</v>
      </c>
      <c r="L2064" s="26">
        <v>71.13</v>
      </c>
      <c r="M2064" s="26"/>
      <c r="N2064" s="26">
        <v>73.59</v>
      </c>
      <c r="O2064" s="26"/>
      <c r="P2064" s="26">
        <v>76.069999999999993</v>
      </c>
      <c r="Q2064" s="26"/>
      <c r="R2064" s="26">
        <v>78.88</v>
      </c>
      <c r="T2064" s="26">
        <v>78.11</v>
      </c>
    </row>
    <row r="2065" spans="1:20" x14ac:dyDescent="0.35">
      <c r="A2065" s="7">
        <v>45529</v>
      </c>
      <c r="L2065" s="26">
        <v>71.13</v>
      </c>
      <c r="M2065" s="26"/>
      <c r="N2065" s="26">
        <v>73.59</v>
      </c>
      <c r="O2065" s="26"/>
      <c r="P2065" s="26">
        <v>76.069999999999993</v>
      </c>
      <c r="Q2065" s="26"/>
      <c r="R2065" s="26">
        <v>78.88</v>
      </c>
      <c r="T2065" s="26">
        <v>78.11</v>
      </c>
    </row>
    <row r="2066" spans="1:20" x14ac:dyDescent="0.35">
      <c r="A2066" s="7">
        <v>45530</v>
      </c>
      <c r="L2066" s="26">
        <v>70.489999999999995</v>
      </c>
      <c r="M2066" s="26"/>
      <c r="N2066" s="26">
        <v>72.95</v>
      </c>
      <c r="O2066" s="26"/>
      <c r="P2066" s="26">
        <v>75.42</v>
      </c>
      <c r="Q2066" s="26"/>
      <c r="R2066" s="26">
        <v>78.36</v>
      </c>
      <c r="T2066" s="26">
        <v>77.510000000000005</v>
      </c>
    </row>
    <row r="2067" spans="1:20" x14ac:dyDescent="0.35">
      <c r="A2067" s="7">
        <v>45531</v>
      </c>
      <c r="L2067" s="26">
        <v>71.489999999999995</v>
      </c>
      <c r="M2067" s="26"/>
      <c r="N2067" s="26">
        <v>73.98</v>
      </c>
      <c r="O2067" s="26"/>
      <c r="P2067" s="26">
        <v>76.47</v>
      </c>
      <c r="Q2067" s="26"/>
      <c r="R2067" s="26">
        <v>79.41</v>
      </c>
      <c r="T2067" s="26">
        <v>78.56</v>
      </c>
    </row>
    <row r="2068" spans="1:20" x14ac:dyDescent="0.35">
      <c r="A2068" s="7">
        <v>45532</v>
      </c>
      <c r="L2068" s="26">
        <v>70.77</v>
      </c>
      <c r="M2068" s="26"/>
      <c r="N2068" s="26">
        <v>73.22</v>
      </c>
      <c r="O2068" s="26"/>
      <c r="P2068" s="26">
        <v>75.709999999999994</v>
      </c>
      <c r="Q2068" s="26"/>
      <c r="R2068" s="26">
        <v>78.540000000000006</v>
      </c>
      <c r="T2068" s="26">
        <v>77.739999999999995</v>
      </c>
    </row>
    <row r="2069" spans="1:20" x14ac:dyDescent="0.35">
      <c r="A2069" s="7">
        <v>45533</v>
      </c>
      <c r="L2069" s="26">
        <v>71.06</v>
      </c>
      <c r="M2069" s="26"/>
      <c r="N2069" s="26">
        <v>73.489999999999995</v>
      </c>
      <c r="O2069" s="26"/>
      <c r="P2069" s="26">
        <v>75.959999999999994</v>
      </c>
      <c r="Q2069" s="26"/>
      <c r="R2069" s="26">
        <v>78.790000000000006</v>
      </c>
      <c r="T2069" s="26">
        <v>77.98</v>
      </c>
    </row>
    <row r="2070" spans="1:20" x14ac:dyDescent="0.35">
      <c r="A2070" s="7">
        <v>45534</v>
      </c>
      <c r="L2070" s="26">
        <v>70.3</v>
      </c>
      <c r="M2070" s="26"/>
      <c r="N2070" s="26">
        <v>72.75</v>
      </c>
      <c r="O2070" s="26"/>
      <c r="P2070" s="26">
        <v>75.2</v>
      </c>
      <c r="Q2070" s="26"/>
      <c r="R2070" s="26">
        <v>78.03</v>
      </c>
      <c r="T2070" s="26">
        <v>77.22</v>
      </c>
    </row>
    <row r="2071" spans="1:20" x14ac:dyDescent="0.35">
      <c r="A2071" s="7">
        <v>45535</v>
      </c>
      <c r="L2071" s="26">
        <v>70.3</v>
      </c>
      <c r="M2071" s="26"/>
      <c r="N2071" s="26">
        <v>72.75</v>
      </c>
      <c r="O2071" s="26"/>
      <c r="P2071" s="26">
        <v>75.2</v>
      </c>
      <c r="Q2071" s="26"/>
      <c r="R2071" s="26">
        <v>78.03</v>
      </c>
      <c r="T2071" s="26">
        <v>77.22</v>
      </c>
    </row>
    <row r="2072" spans="1:20" x14ac:dyDescent="0.35">
      <c r="A2072" s="7">
        <v>45536</v>
      </c>
      <c r="L2072" s="26">
        <v>70.3</v>
      </c>
      <c r="M2072" s="26"/>
      <c r="N2072" s="26">
        <v>72.75</v>
      </c>
      <c r="O2072" s="26"/>
      <c r="P2072" s="26">
        <v>75.2</v>
      </c>
      <c r="Q2072" s="26"/>
      <c r="R2072" s="26">
        <v>78.03</v>
      </c>
      <c r="T2072" s="26">
        <v>77.22</v>
      </c>
    </row>
    <row r="2073" spans="1:20" x14ac:dyDescent="0.35">
      <c r="A2073" s="7">
        <v>45537</v>
      </c>
      <c r="L2073" s="26">
        <v>70.430000000000007</v>
      </c>
      <c r="M2073" s="26"/>
      <c r="N2073" s="26">
        <v>72.900000000000006</v>
      </c>
      <c r="O2073" s="26"/>
      <c r="P2073" s="26">
        <v>75.400000000000006</v>
      </c>
      <c r="Q2073" s="26"/>
      <c r="R2073" s="26">
        <v>78.2</v>
      </c>
      <c r="T2073" s="26">
        <v>77.31</v>
      </c>
    </row>
    <row r="2074" spans="1:20" x14ac:dyDescent="0.35">
      <c r="A2074" s="7">
        <v>45538</v>
      </c>
      <c r="L2074" s="26">
        <v>68.16</v>
      </c>
      <c r="M2074" s="26"/>
      <c r="N2074" s="26">
        <v>70.540000000000006</v>
      </c>
      <c r="O2074" s="26"/>
      <c r="P2074" s="26">
        <v>72.94</v>
      </c>
      <c r="Q2074" s="26"/>
      <c r="R2074" s="26">
        <v>75.67</v>
      </c>
      <c r="T2074" s="26">
        <v>74.59</v>
      </c>
    </row>
    <row r="2075" spans="1:20" x14ac:dyDescent="0.35">
      <c r="A2075" s="7">
        <v>45539</v>
      </c>
      <c r="L2075" s="26">
        <v>67</v>
      </c>
      <c r="M2075" s="26"/>
      <c r="N2075" s="26">
        <v>69.3</v>
      </c>
      <c r="O2075" s="26"/>
      <c r="P2075" s="26">
        <v>71.64</v>
      </c>
      <c r="Q2075" s="26"/>
      <c r="R2075" s="26">
        <v>74.3</v>
      </c>
      <c r="T2075" s="26">
        <v>73.22</v>
      </c>
    </row>
    <row r="2076" spans="1:20" x14ac:dyDescent="0.35">
      <c r="A2076" s="7">
        <v>45540</v>
      </c>
      <c r="L2076" s="26">
        <v>66.2</v>
      </c>
      <c r="M2076" s="26"/>
      <c r="N2076" s="26">
        <v>68.459999999999994</v>
      </c>
      <c r="O2076" s="26"/>
      <c r="P2076" s="26">
        <v>70.75</v>
      </c>
      <c r="Q2076" s="26"/>
      <c r="R2076" s="26">
        <v>73.290000000000006</v>
      </c>
      <c r="T2076" s="26">
        <v>72.319999999999993</v>
      </c>
    </row>
    <row r="2077" spans="1:20" x14ac:dyDescent="0.35">
      <c r="A2077" s="7">
        <v>45541</v>
      </c>
      <c r="L2077" s="26">
        <v>66.5</v>
      </c>
      <c r="M2077" s="26"/>
      <c r="N2077" s="26">
        <v>68.709999999999994</v>
      </c>
      <c r="O2077" s="26"/>
      <c r="P2077" s="26">
        <v>70.930000000000007</v>
      </c>
      <c r="Q2077" s="26"/>
      <c r="R2077" s="26">
        <v>73.52</v>
      </c>
      <c r="T2077" s="26">
        <v>72.540000000000006</v>
      </c>
    </row>
    <row r="2078" spans="1:20" x14ac:dyDescent="0.35">
      <c r="A2078" s="7">
        <v>45542</v>
      </c>
      <c r="L2078" s="26">
        <v>66.5</v>
      </c>
      <c r="M2078" s="26"/>
      <c r="N2078" s="26">
        <v>68.709999999999994</v>
      </c>
      <c r="O2078" s="26"/>
      <c r="P2078" s="26">
        <v>70.930000000000007</v>
      </c>
      <c r="Q2078" s="26"/>
      <c r="R2078" s="26">
        <v>73.52</v>
      </c>
      <c r="T2078" s="26">
        <v>72.540000000000006</v>
      </c>
    </row>
    <row r="2079" spans="1:20" x14ac:dyDescent="0.35">
      <c r="A2079" s="7">
        <v>45543</v>
      </c>
      <c r="L2079" s="26">
        <v>66.5</v>
      </c>
      <c r="M2079" s="26"/>
      <c r="N2079" s="26">
        <v>68.709999999999994</v>
      </c>
      <c r="O2079" s="26"/>
      <c r="P2079" s="26">
        <v>70.930000000000007</v>
      </c>
      <c r="Q2079" s="26"/>
      <c r="R2079" s="26">
        <v>73.52</v>
      </c>
      <c r="T2079" s="26">
        <v>72.540000000000006</v>
      </c>
    </row>
    <row r="2080" spans="1:20" x14ac:dyDescent="0.35">
      <c r="A2080" s="7">
        <v>45544</v>
      </c>
      <c r="L2080" s="26">
        <v>66.52</v>
      </c>
      <c r="M2080" s="26"/>
      <c r="N2080" s="26">
        <v>68.73</v>
      </c>
      <c r="O2080" s="26"/>
      <c r="P2080" s="26">
        <v>70.959999999999994</v>
      </c>
      <c r="Q2080" s="26"/>
      <c r="R2080" s="26">
        <v>73.61</v>
      </c>
      <c r="T2080" s="26">
        <v>72.7</v>
      </c>
    </row>
    <row r="2081" spans="1:20" x14ac:dyDescent="0.35">
      <c r="A2081" s="7">
        <v>45545</v>
      </c>
      <c r="L2081" s="26">
        <v>64.92</v>
      </c>
      <c r="M2081" s="26"/>
      <c r="N2081" s="26">
        <v>67.099999999999994</v>
      </c>
      <c r="O2081" s="26"/>
      <c r="P2081" s="26">
        <v>69.3</v>
      </c>
      <c r="Q2081" s="26"/>
      <c r="R2081" s="26">
        <v>71.83</v>
      </c>
      <c r="T2081" s="26">
        <v>70.91</v>
      </c>
    </row>
    <row r="2082" spans="1:20" x14ac:dyDescent="0.35">
      <c r="A2082" s="7">
        <v>45546</v>
      </c>
      <c r="L2082" s="26">
        <v>66.400000000000006</v>
      </c>
      <c r="M2082" s="26"/>
      <c r="N2082" s="26">
        <v>68.55</v>
      </c>
      <c r="O2082" s="26"/>
      <c r="P2082" s="26">
        <v>70.69</v>
      </c>
      <c r="Q2082" s="26"/>
      <c r="R2082" s="26">
        <v>73.14</v>
      </c>
      <c r="T2082" s="26">
        <v>72.48</v>
      </c>
    </row>
    <row r="2083" spans="1:20" x14ac:dyDescent="0.35">
      <c r="A2083" s="7">
        <v>45547</v>
      </c>
      <c r="L2083" s="26">
        <v>65.45</v>
      </c>
      <c r="M2083" s="26"/>
      <c r="N2083" s="26">
        <v>67.59</v>
      </c>
      <c r="O2083" s="26"/>
      <c r="P2083" s="26">
        <v>69.72</v>
      </c>
      <c r="Q2083" s="26"/>
      <c r="R2083" s="26">
        <v>72.12</v>
      </c>
      <c r="T2083" s="26">
        <v>71.430000000000007</v>
      </c>
    </row>
    <row r="2084" spans="1:20" x14ac:dyDescent="0.35">
      <c r="A2084" s="7">
        <v>45548</v>
      </c>
      <c r="L2084" s="26">
        <v>64.989999999999995</v>
      </c>
      <c r="M2084" s="26"/>
      <c r="N2084" s="26">
        <v>67.11</v>
      </c>
      <c r="O2084" s="26"/>
      <c r="P2084" s="26">
        <v>69.25</v>
      </c>
      <c r="Q2084" s="26"/>
      <c r="R2084" s="26">
        <v>71.680000000000007</v>
      </c>
      <c r="T2084" s="26">
        <v>70.94</v>
      </c>
    </row>
    <row r="2085" spans="1:20" x14ac:dyDescent="0.35">
      <c r="A2085" s="7">
        <v>45549</v>
      </c>
      <c r="L2085" s="26">
        <v>64.989999999999995</v>
      </c>
      <c r="M2085" s="26"/>
      <c r="N2085" s="26">
        <v>67.11</v>
      </c>
      <c r="O2085" s="26"/>
      <c r="P2085" s="26">
        <v>69.25</v>
      </c>
      <c r="Q2085" s="26"/>
      <c r="R2085" s="26">
        <v>71.680000000000007</v>
      </c>
      <c r="T2085" s="26">
        <v>70.94</v>
      </c>
    </row>
    <row r="2086" spans="1:20" x14ac:dyDescent="0.35">
      <c r="A2086" s="7">
        <v>45550</v>
      </c>
      <c r="L2086" s="26">
        <v>64.989999999999995</v>
      </c>
      <c r="M2086" s="26"/>
      <c r="N2086" s="26">
        <v>67.11</v>
      </c>
      <c r="O2086" s="26"/>
      <c r="P2086" s="26">
        <v>69.25</v>
      </c>
      <c r="Q2086" s="26"/>
      <c r="R2086" s="26">
        <v>71.680000000000007</v>
      </c>
      <c r="T2086" s="26">
        <v>70.94</v>
      </c>
    </row>
    <row r="2087" spans="1:20" x14ac:dyDescent="0.35">
      <c r="A2087" s="7">
        <v>45551</v>
      </c>
      <c r="L2087" s="26">
        <v>63.21</v>
      </c>
      <c r="M2087" s="26"/>
      <c r="N2087" s="26">
        <v>65.31</v>
      </c>
      <c r="O2087" s="26"/>
      <c r="P2087" s="26">
        <v>67.37</v>
      </c>
      <c r="Q2087" s="26"/>
      <c r="R2087" s="26">
        <v>69.790000000000006</v>
      </c>
      <c r="T2087" s="26">
        <v>69.06</v>
      </c>
    </row>
    <row r="2088" spans="1:20" x14ac:dyDescent="0.35">
      <c r="A2088" s="7">
        <v>45552</v>
      </c>
      <c r="L2088" s="26">
        <v>64.34</v>
      </c>
      <c r="M2088" s="26"/>
      <c r="N2088" s="26">
        <v>66.430000000000007</v>
      </c>
      <c r="O2088" s="26"/>
      <c r="P2088" s="26">
        <v>68.489999999999995</v>
      </c>
      <c r="Q2088" s="26"/>
      <c r="R2088" s="26">
        <v>70.84</v>
      </c>
      <c r="T2088" s="26">
        <v>70.150000000000006</v>
      </c>
    </row>
    <row r="2089" spans="1:20" x14ac:dyDescent="0.35">
      <c r="A2089" s="7">
        <v>45553</v>
      </c>
      <c r="L2089" s="26">
        <v>63.7</v>
      </c>
      <c r="M2089" s="26"/>
      <c r="N2089" s="26">
        <v>65.81</v>
      </c>
      <c r="O2089" s="26"/>
      <c r="P2089" s="26">
        <v>67.900000000000006</v>
      </c>
      <c r="Q2089" s="26"/>
      <c r="R2089" s="26">
        <v>70.25</v>
      </c>
      <c r="T2089" s="26">
        <v>69.56</v>
      </c>
    </row>
    <row r="2090" spans="1:20" x14ac:dyDescent="0.35">
      <c r="A2090" s="7">
        <v>45554</v>
      </c>
      <c r="L2090" s="26">
        <v>62.82</v>
      </c>
      <c r="M2090" s="26"/>
      <c r="N2090" s="26">
        <v>64.900000000000006</v>
      </c>
      <c r="O2090" s="26"/>
      <c r="P2090" s="26">
        <v>67.010000000000005</v>
      </c>
      <c r="Q2090" s="26"/>
      <c r="R2090" s="26">
        <v>69.349999999999994</v>
      </c>
      <c r="T2090" s="26">
        <v>68.69</v>
      </c>
    </row>
    <row r="2091" spans="1:20" x14ac:dyDescent="0.35">
      <c r="A2091" s="7">
        <v>45555</v>
      </c>
      <c r="L2091" s="26">
        <v>63.24</v>
      </c>
      <c r="M2091" s="26"/>
      <c r="N2091" s="26">
        <v>65.489999999999995</v>
      </c>
      <c r="O2091" s="26"/>
      <c r="P2091" s="26">
        <v>67.62</v>
      </c>
      <c r="Q2091" s="26"/>
      <c r="R2091" s="26">
        <v>69.94</v>
      </c>
      <c r="T2091" s="26">
        <v>69.28</v>
      </c>
    </row>
    <row r="2092" spans="1:20" x14ac:dyDescent="0.35">
      <c r="A2092" s="7">
        <v>45556</v>
      </c>
      <c r="L2092" s="26">
        <v>63.24</v>
      </c>
      <c r="M2092" s="26"/>
      <c r="N2092" s="26">
        <v>65.489999999999995</v>
      </c>
      <c r="O2092" s="26"/>
      <c r="P2092" s="26">
        <v>67.62</v>
      </c>
      <c r="Q2092" s="26"/>
      <c r="R2092" s="26">
        <v>69.94</v>
      </c>
      <c r="T2092" s="26">
        <v>69.28</v>
      </c>
    </row>
    <row r="2093" spans="1:20" x14ac:dyDescent="0.35">
      <c r="A2093" s="7">
        <v>45557</v>
      </c>
      <c r="L2093" s="26">
        <v>63.24</v>
      </c>
      <c r="M2093" s="26"/>
      <c r="N2093" s="26">
        <v>65.489999999999995</v>
      </c>
      <c r="O2093" s="26"/>
      <c r="P2093" s="26">
        <v>67.62</v>
      </c>
      <c r="Q2093" s="26"/>
      <c r="R2093" s="26">
        <v>69.94</v>
      </c>
      <c r="T2093" s="26">
        <v>69.28</v>
      </c>
    </row>
    <row r="2094" spans="1:20" x14ac:dyDescent="0.35">
      <c r="A2094" s="7">
        <v>45558</v>
      </c>
      <c r="L2094" s="26">
        <v>64.099999999999994</v>
      </c>
      <c r="M2094" s="26"/>
      <c r="N2094" s="26">
        <v>66.180000000000007</v>
      </c>
      <c r="O2094" s="26"/>
      <c r="P2094" s="26">
        <v>68.25</v>
      </c>
      <c r="Q2094" s="26"/>
      <c r="R2094" s="26">
        <v>70.61</v>
      </c>
      <c r="T2094" s="26">
        <v>69.94</v>
      </c>
    </row>
    <row r="2095" spans="1:20" x14ac:dyDescent="0.35">
      <c r="A2095" s="7">
        <v>45559</v>
      </c>
      <c r="L2095" s="26">
        <v>63.87</v>
      </c>
      <c r="M2095" s="26"/>
      <c r="N2095" s="26">
        <v>65.91</v>
      </c>
      <c r="O2095" s="26"/>
      <c r="P2095" s="26">
        <v>67.92</v>
      </c>
      <c r="Q2095" s="26"/>
      <c r="R2095" s="26">
        <v>70.31</v>
      </c>
      <c r="T2095" s="26">
        <v>69.650000000000006</v>
      </c>
    </row>
    <row r="2096" spans="1:20" x14ac:dyDescent="0.35">
      <c r="A2096" s="7">
        <v>45560</v>
      </c>
      <c r="L2096" s="26">
        <v>65.239999999999995</v>
      </c>
      <c r="M2096" s="26"/>
      <c r="N2096" s="26">
        <v>67.31</v>
      </c>
      <c r="O2096" s="26"/>
      <c r="P2096" s="26">
        <v>69.37</v>
      </c>
      <c r="Q2096" s="26"/>
      <c r="R2096" s="26">
        <v>71.73</v>
      </c>
      <c r="T2096" s="26">
        <v>71.06</v>
      </c>
    </row>
    <row r="2097" spans="1:20" x14ac:dyDescent="0.35">
      <c r="A2097" s="7">
        <v>45561</v>
      </c>
      <c r="L2097" s="26">
        <v>66.52</v>
      </c>
      <c r="M2097" s="26"/>
      <c r="N2097" s="26">
        <v>68.599999999999994</v>
      </c>
      <c r="O2097" s="26"/>
      <c r="P2097" s="26">
        <v>70.680000000000007</v>
      </c>
      <c r="Q2097" s="26"/>
      <c r="R2097" s="26">
        <v>73.040000000000006</v>
      </c>
      <c r="T2097" s="26">
        <v>72.38</v>
      </c>
    </row>
    <row r="2098" spans="1:20" x14ac:dyDescent="0.35">
      <c r="A2098" s="7">
        <v>45562</v>
      </c>
      <c r="L2098" s="26">
        <v>66.33</v>
      </c>
      <c r="M2098" s="26"/>
      <c r="N2098" s="26">
        <v>68.39</v>
      </c>
      <c r="O2098" s="26"/>
      <c r="P2098" s="26">
        <v>70.459999999999994</v>
      </c>
      <c r="Q2098" s="26"/>
      <c r="R2098" s="26">
        <v>72.819999999999993</v>
      </c>
      <c r="T2098" s="26">
        <v>72.17</v>
      </c>
    </row>
    <row r="2099" spans="1:20" x14ac:dyDescent="0.35">
      <c r="A2099" s="7">
        <v>45563</v>
      </c>
      <c r="L2099" s="26">
        <v>66.33</v>
      </c>
      <c r="M2099" s="26"/>
      <c r="N2099" s="26">
        <v>68.39</v>
      </c>
      <c r="O2099" s="26"/>
      <c r="P2099" s="26">
        <v>70.459999999999994</v>
      </c>
      <c r="Q2099" s="26"/>
      <c r="R2099" s="26">
        <v>72.819999999999993</v>
      </c>
      <c r="T2099" s="26">
        <v>72.17</v>
      </c>
    </row>
    <row r="2100" spans="1:20" x14ac:dyDescent="0.35">
      <c r="A2100" s="7">
        <v>45564</v>
      </c>
      <c r="L2100" s="26">
        <v>66.33</v>
      </c>
      <c r="M2100" s="26"/>
      <c r="N2100" s="26">
        <v>68.39</v>
      </c>
      <c r="O2100" s="26"/>
      <c r="P2100" s="26">
        <v>70.459999999999994</v>
      </c>
      <c r="Q2100" s="26"/>
      <c r="R2100" s="26">
        <v>72.819999999999993</v>
      </c>
      <c r="T2100" s="26">
        <v>72.17</v>
      </c>
    </row>
    <row r="2101" spans="1:20" x14ac:dyDescent="0.35">
      <c r="A2101" s="7">
        <v>45565</v>
      </c>
      <c r="L2101" s="26">
        <v>65.56</v>
      </c>
      <c r="M2101" s="26"/>
      <c r="N2101" s="26">
        <v>67.599999999999994</v>
      </c>
      <c r="O2101" s="26"/>
      <c r="P2101" s="26">
        <v>69.64</v>
      </c>
      <c r="Q2101" s="26"/>
      <c r="R2101" s="26">
        <v>72.02</v>
      </c>
      <c r="T2101" s="26">
        <v>71.36</v>
      </c>
    </row>
    <row r="2102" spans="1:20" x14ac:dyDescent="0.35">
      <c r="A2102" s="7">
        <v>45566</v>
      </c>
      <c r="L2102" s="26">
        <v>63.61</v>
      </c>
      <c r="M2102" s="26"/>
      <c r="N2102" s="26">
        <v>65.569999999999993</v>
      </c>
      <c r="O2102" s="26"/>
      <c r="P2102" s="26">
        <v>67.510000000000005</v>
      </c>
      <c r="Q2102" s="26"/>
      <c r="R2102" s="26">
        <v>69.63</v>
      </c>
      <c r="T2102" s="26">
        <v>69.069999999999993</v>
      </c>
    </row>
    <row r="2103" spans="1:20" x14ac:dyDescent="0.35">
      <c r="A2103" s="7">
        <v>45567</v>
      </c>
      <c r="L2103" s="26">
        <v>62.6</v>
      </c>
      <c r="M2103" s="26"/>
      <c r="N2103" s="26">
        <v>64.540000000000006</v>
      </c>
      <c r="O2103" s="26"/>
      <c r="P2103" s="26">
        <v>66.45</v>
      </c>
      <c r="Q2103" s="26"/>
      <c r="R2103" s="26">
        <v>68.61</v>
      </c>
      <c r="T2103" s="26">
        <v>67.88</v>
      </c>
    </row>
    <row r="2104" spans="1:20" x14ac:dyDescent="0.35">
      <c r="A2104" s="7">
        <v>45568</v>
      </c>
      <c r="L2104" s="26">
        <v>62.76</v>
      </c>
      <c r="M2104" s="26"/>
      <c r="N2104" s="26">
        <v>64.709999999999994</v>
      </c>
      <c r="O2104" s="26"/>
      <c r="P2104" s="26">
        <v>66.650000000000006</v>
      </c>
      <c r="Q2104" s="26"/>
      <c r="R2104" s="26">
        <v>68.92</v>
      </c>
      <c r="T2104" s="26">
        <v>68.16</v>
      </c>
    </row>
    <row r="2105" spans="1:20" x14ac:dyDescent="0.35">
      <c r="A2105" s="7">
        <v>45569</v>
      </c>
      <c r="L2105" s="26">
        <v>62.05</v>
      </c>
      <c r="M2105" s="26"/>
      <c r="N2105" s="26">
        <v>64.02</v>
      </c>
      <c r="O2105" s="26"/>
      <c r="P2105" s="26">
        <v>66</v>
      </c>
      <c r="Q2105" s="26"/>
      <c r="R2105" s="26">
        <v>68.3</v>
      </c>
      <c r="T2105" s="26">
        <v>67.52</v>
      </c>
    </row>
    <row r="2106" spans="1:20" x14ac:dyDescent="0.35">
      <c r="A2106" s="7">
        <v>45570</v>
      </c>
      <c r="L2106" s="26">
        <v>62.05</v>
      </c>
      <c r="M2106" s="26"/>
      <c r="N2106" s="26">
        <v>64.02</v>
      </c>
      <c r="O2106" s="26"/>
      <c r="P2106" s="26">
        <v>66</v>
      </c>
      <c r="Q2106" s="26"/>
      <c r="R2106" s="26">
        <v>68.3</v>
      </c>
      <c r="T2106" s="26">
        <v>67.52</v>
      </c>
    </row>
    <row r="2107" spans="1:20" x14ac:dyDescent="0.35">
      <c r="A2107" s="7">
        <v>45571</v>
      </c>
      <c r="L2107" s="26">
        <v>62.05</v>
      </c>
      <c r="M2107" s="26"/>
      <c r="N2107" s="26">
        <v>64.02</v>
      </c>
      <c r="O2107" s="26"/>
      <c r="P2107" s="26">
        <v>66</v>
      </c>
      <c r="Q2107" s="26"/>
      <c r="R2107" s="26">
        <v>68.3</v>
      </c>
      <c r="T2107" s="26">
        <v>67.52</v>
      </c>
    </row>
    <row r="2108" spans="1:20" x14ac:dyDescent="0.35">
      <c r="A2108" s="7">
        <v>45572</v>
      </c>
      <c r="L2108" s="26">
        <v>61.76</v>
      </c>
      <c r="M2108" s="26"/>
      <c r="N2108" s="26">
        <v>63.78</v>
      </c>
      <c r="O2108" s="26"/>
      <c r="P2108" s="26">
        <v>65.819999999999993</v>
      </c>
      <c r="Q2108" s="26"/>
      <c r="R2108" s="26">
        <v>68.09</v>
      </c>
      <c r="T2108" s="26">
        <v>67.34</v>
      </c>
    </row>
    <row r="2109" spans="1:20" x14ac:dyDescent="0.35">
      <c r="A2109" s="7">
        <v>45573</v>
      </c>
      <c r="L2109" s="26">
        <v>60.29</v>
      </c>
      <c r="M2109" s="26"/>
      <c r="N2109" s="26">
        <v>62.32</v>
      </c>
      <c r="O2109" s="26"/>
      <c r="P2109" s="26">
        <v>64.34</v>
      </c>
      <c r="Q2109" s="26"/>
      <c r="R2109" s="26">
        <v>66.7</v>
      </c>
      <c r="T2109" s="26">
        <v>65.930000000000007</v>
      </c>
    </row>
    <row r="2110" spans="1:20" x14ac:dyDescent="0.35">
      <c r="A2110" s="7">
        <v>45574</v>
      </c>
      <c r="L2110" s="26">
        <v>62.01</v>
      </c>
      <c r="M2110" s="26"/>
      <c r="N2110" s="26">
        <v>64.069999999999993</v>
      </c>
      <c r="O2110" s="26"/>
      <c r="P2110" s="26">
        <v>66.14</v>
      </c>
      <c r="Q2110" s="26"/>
      <c r="R2110" s="26">
        <v>68.5</v>
      </c>
      <c r="T2110" s="26">
        <v>67.72</v>
      </c>
    </row>
    <row r="2111" spans="1:20" x14ac:dyDescent="0.35">
      <c r="A2111" s="7">
        <v>45575</v>
      </c>
      <c r="L2111" s="26">
        <v>65</v>
      </c>
      <c r="M2111" s="26"/>
      <c r="N2111" s="26">
        <v>67.12</v>
      </c>
      <c r="O2111" s="26"/>
      <c r="P2111" s="26">
        <v>69.28</v>
      </c>
      <c r="Q2111" s="26"/>
      <c r="R2111" s="26">
        <v>71.72</v>
      </c>
      <c r="T2111" s="26">
        <v>70.930000000000007</v>
      </c>
    </row>
    <row r="2112" spans="1:20" x14ac:dyDescent="0.35">
      <c r="A2112" s="7">
        <v>45576</v>
      </c>
      <c r="L2112" s="26">
        <v>64.62</v>
      </c>
      <c r="M2112" s="26"/>
      <c r="N2112" s="26">
        <v>66.73</v>
      </c>
      <c r="O2112" s="26"/>
      <c r="P2112" s="26">
        <v>68.89</v>
      </c>
      <c r="Q2112" s="26"/>
      <c r="R2112" s="26">
        <v>71.239999999999995</v>
      </c>
      <c r="T2112" s="26">
        <v>70.48</v>
      </c>
    </row>
    <row r="2113" spans="1:20" x14ac:dyDescent="0.35">
      <c r="A2113" s="7">
        <v>45577</v>
      </c>
      <c r="L2113" s="26">
        <v>64.62</v>
      </c>
      <c r="M2113" s="26"/>
      <c r="N2113" s="26">
        <v>66.73</v>
      </c>
      <c r="O2113" s="26"/>
      <c r="P2113" s="26">
        <v>68.89</v>
      </c>
      <c r="Q2113" s="26"/>
      <c r="R2113" s="26">
        <v>71.239999999999995</v>
      </c>
      <c r="T2113" s="26">
        <v>70.48</v>
      </c>
    </row>
    <row r="2114" spans="1:20" x14ac:dyDescent="0.35">
      <c r="A2114" s="7">
        <v>45578</v>
      </c>
      <c r="L2114" s="26">
        <v>64.62</v>
      </c>
      <c r="M2114" s="26"/>
      <c r="N2114" s="26">
        <v>66.73</v>
      </c>
      <c r="O2114" s="26"/>
      <c r="P2114" s="26">
        <v>68.89</v>
      </c>
      <c r="Q2114" s="26"/>
      <c r="R2114" s="26">
        <v>71.239999999999995</v>
      </c>
      <c r="T2114" s="26">
        <v>70.48</v>
      </c>
    </row>
    <row r="2115" spans="1:20" x14ac:dyDescent="0.35">
      <c r="A2115" s="7">
        <v>45579</v>
      </c>
      <c r="L2115" s="26">
        <v>65.97</v>
      </c>
      <c r="M2115" s="26"/>
      <c r="N2115" s="26">
        <v>68.12</v>
      </c>
      <c r="O2115" s="26"/>
      <c r="P2115" s="26">
        <v>70.3</v>
      </c>
      <c r="Q2115" s="26"/>
      <c r="R2115" s="26">
        <v>72.709999999999994</v>
      </c>
      <c r="T2115" s="26">
        <v>71.930000000000007</v>
      </c>
    </row>
    <row r="2116" spans="1:20" x14ac:dyDescent="0.35">
      <c r="A2116" s="7">
        <v>45580</v>
      </c>
      <c r="L2116" s="26">
        <v>65.09</v>
      </c>
      <c r="M2116" s="26"/>
      <c r="N2116" s="26">
        <v>67.2</v>
      </c>
      <c r="O2116" s="26"/>
      <c r="P2116" s="26">
        <v>69.31</v>
      </c>
      <c r="Q2116" s="26"/>
      <c r="R2116" s="26">
        <v>71.72</v>
      </c>
      <c r="T2116" s="26">
        <v>70.94</v>
      </c>
    </row>
    <row r="2117" spans="1:20" x14ac:dyDescent="0.35">
      <c r="A2117" s="7">
        <v>45581</v>
      </c>
      <c r="L2117" s="26">
        <v>63.03</v>
      </c>
      <c r="M2117" s="26"/>
      <c r="N2117" s="26">
        <v>65.06</v>
      </c>
      <c r="O2117" s="26"/>
      <c r="P2117" s="26">
        <v>67.08</v>
      </c>
      <c r="Q2117" s="26"/>
      <c r="R2117" s="26">
        <v>69.36</v>
      </c>
      <c r="T2117" s="26">
        <v>68.62</v>
      </c>
    </row>
    <row r="2118" spans="1:20" x14ac:dyDescent="0.35">
      <c r="A2118" s="7">
        <v>45582</v>
      </c>
      <c r="L2118" s="26">
        <v>62.98</v>
      </c>
      <c r="M2118" s="26"/>
      <c r="N2118" s="26">
        <v>64.98</v>
      </c>
      <c r="O2118" s="26"/>
      <c r="P2118" s="26">
        <v>66.989999999999995</v>
      </c>
      <c r="Q2118" s="26"/>
      <c r="R2118" s="26">
        <v>69.260000000000005</v>
      </c>
      <c r="T2118" s="26">
        <v>68.52</v>
      </c>
    </row>
    <row r="2119" spans="1:20" x14ac:dyDescent="0.35">
      <c r="A2119" s="7">
        <v>45583</v>
      </c>
      <c r="L2119" s="26">
        <v>62.28</v>
      </c>
      <c r="M2119" s="26"/>
      <c r="N2119" s="26">
        <v>64.23</v>
      </c>
      <c r="O2119" s="26"/>
      <c r="P2119" s="26">
        <v>66.2</v>
      </c>
      <c r="Q2119" s="26"/>
      <c r="R2119" s="26">
        <v>68.47</v>
      </c>
      <c r="T2119" s="26">
        <v>67.739999999999995</v>
      </c>
    </row>
    <row r="2120" spans="1:20" x14ac:dyDescent="0.35">
      <c r="A2120" s="7">
        <v>45584</v>
      </c>
      <c r="L2120" s="26">
        <v>62.28</v>
      </c>
      <c r="M2120" s="26"/>
      <c r="N2120" s="26">
        <v>64.23</v>
      </c>
      <c r="O2120" s="26"/>
      <c r="P2120" s="26">
        <v>66.2</v>
      </c>
      <c r="Q2120" s="26"/>
      <c r="R2120" s="26">
        <v>68.47</v>
      </c>
      <c r="T2120" s="26">
        <v>67.739999999999995</v>
      </c>
    </row>
    <row r="2121" spans="1:20" x14ac:dyDescent="0.35">
      <c r="A2121" s="7">
        <v>45585</v>
      </c>
      <c r="L2121" s="26">
        <v>62.28</v>
      </c>
      <c r="M2121" s="26"/>
      <c r="N2121" s="26">
        <v>64.23</v>
      </c>
      <c r="O2121" s="26"/>
      <c r="P2121" s="26">
        <v>66.2</v>
      </c>
      <c r="Q2121" s="26"/>
      <c r="R2121" s="26">
        <v>68.47</v>
      </c>
      <c r="T2121" s="26">
        <v>67.739999999999995</v>
      </c>
    </row>
    <row r="2122" spans="1:20" x14ac:dyDescent="0.35">
      <c r="A2122" s="7">
        <v>45586</v>
      </c>
      <c r="L2122" s="26">
        <v>61.76</v>
      </c>
      <c r="M2122" s="26"/>
      <c r="N2122" s="26">
        <v>63.7</v>
      </c>
      <c r="O2122" s="26"/>
      <c r="P2122" s="26">
        <v>65.69</v>
      </c>
      <c r="Q2122" s="26"/>
      <c r="R2122" s="26">
        <v>67.930000000000007</v>
      </c>
      <c r="T2122" s="26">
        <v>67.2</v>
      </c>
    </row>
    <row r="2123" spans="1:20" x14ac:dyDescent="0.35">
      <c r="A2123" s="7">
        <v>45587</v>
      </c>
      <c r="L2123" s="26">
        <v>62.25</v>
      </c>
      <c r="M2123" s="26"/>
      <c r="N2123" s="26">
        <v>64.180000000000007</v>
      </c>
      <c r="O2123" s="26"/>
      <c r="P2123" s="26">
        <v>66.17</v>
      </c>
      <c r="Q2123" s="26"/>
      <c r="R2123" s="26">
        <v>68.45</v>
      </c>
      <c r="T2123" s="26">
        <v>67.709999999999994</v>
      </c>
    </row>
    <row r="2124" spans="1:20" x14ac:dyDescent="0.35">
      <c r="A2124" s="7">
        <v>45588</v>
      </c>
      <c r="L2124" s="26">
        <v>65.150000000000006</v>
      </c>
      <c r="M2124" s="26"/>
      <c r="N2124" s="26">
        <v>66.959999999999994</v>
      </c>
      <c r="O2124" s="26"/>
      <c r="P2124" s="26">
        <v>68.91</v>
      </c>
      <c r="Q2124" s="26"/>
      <c r="R2124" s="26">
        <v>71.180000000000007</v>
      </c>
      <c r="T2124" s="26">
        <v>70.37</v>
      </c>
    </row>
    <row r="2125" spans="1:20" x14ac:dyDescent="0.35">
      <c r="A2125" s="7">
        <v>45589</v>
      </c>
      <c r="L2125" s="26">
        <v>66.63</v>
      </c>
      <c r="M2125" s="26"/>
      <c r="N2125" s="26">
        <v>68.61</v>
      </c>
      <c r="O2125" s="26"/>
      <c r="P2125" s="26">
        <v>70.64</v>
      </c>
      <c r="Q2125" s="26"/>
      <c r="R2125" s="26">
        <v>72.95</v>
      </c>
      <c r="T2125" s="26">
        <v>72.19</v>
      </c>
    </row>
    <row r="2126" spans="1:20" x14ac:dyDescent="0.35">
      <c r="A2126" s="7">
        <v>45590</v>
      </c>
      <c r="L2126" s="26">
        <v>66.97</v>
      </c>
      <c r="M2126" s="26"/>
      <c r="N2126" s="26">
        <v>69</v>
      </c>
      <c r="O2126" s="26"/>
      <c r="P2126" s="26">
        <v>71.09</v>
      </c>
      <c r="Q2126" s="26"/>
      <c r="R2126" s="26">
        <v>73.430000000000007</v>
      </c>
      <c r="T2126" s="26">
        <v>72.67</v>
      </c>
    </row>
    <row r="2127" spans="1:20" x14ac:dyDescent="0.35">
      <c r="A2127" s="7">
        <v>45591</v>
      </c>
      <c r="L2127" s="26">
        <v>66.97</v>
      </c>
      <c r="M2127" s="26"/>
      <c r="N2127" s="26">
        <v>69</v>
      </c>
      <c r="O2127" s="26"/>
      <c r="P2127" s="26">
        <v>71.09</v>
      </c>
      <c r="Q2127" s="26"/>
      <c r="R2127" s="26">
        <v>73.430000000000007</v>
      </c>
      <c r="T2127" s="26">
        <v>72.67</v>
      </c>
    </row>
    <row r="2128" spans="1:20" x14ac:dyDescent="0.35">
      <c r="A2128" s="7">
        <v>45592</v>
      </c>
      <c r="L2128" s="26">
        <v>66.97</v>
      </c>
      <c r="M2128" s="26"/>
      <c r="N2128" s="26">
        <v>69</v>
      </c>
      <c r="O2128" s="26"/>
      <c r="P2128" s="26">
        <v>71.09</v>
      </c>
      <c r="Q2128" s="26"/>
      <c r="R2128" s="26">
        <v>73.430000000000007</v>
      </c>
      <c r="T2128" s="26">
        <v>72.67</v>
      </c>
    </row>
    <row r="2129" spans="1:20" x14ac:dyDescent="0.35">
      <c r="A2129" s="7">
        <v>45593</v>
      </c>
      <c r="L2129" s="26">
        <v>66.400000000000006</v>
      </c>
      <c r="M2129" s="26"/>
      <c r="N2129" s="26">
        <v>68.39</v>
      </c>
      <c r="O2129" s="26"/>
      <c r="P2129" s="26">
        <v>70.47</v>
      </c>
      <c r="Q2129" s="26"/>
      <c r="R2129" s="26">
        <v>72.83</v>
      </c>
      <c r="T2129" s="26">
        <v>72.069999999999993</v>
      </c>
    </row>
    <row r="2130" spans="1:20" x14ac:dyDescent="0.35">
      <c r="A2130" s="7">
        <v>45594</v>
      </c>
      <c r="L2130" s="26">
        <v>67.28</v>
      </c>
      <c r="M2130" s="26"/>
      <c r="N2130" s="26">
        <v>69.27</v>
      </c>
      <c r="O2130" s="26"/>
      <c r="P2130" s="26">
        <v>71.38</v>
      </c>
      <c r="Q2130" s="26"/>
      <c r="R2130" s="26">
        <v>73.790000000000006</v>
      </c>
      <c r="T2130" s="26">
        <v>73.010000000000005</v>
      </c>
    </row>
    <row r="2131" spans="1:20" x14ac:dyDescent="0.35">
      <c r="A2131" s="7">
        <v>45595</v>
      </c>
      <c r="L2131" s="26">
        <v>65.47</v>
      </c>
      <c r="M2131" s="26"/>
      <c r="N2131" s="26">
        <v>67.459999999999994</v>
      </c>
      <c r="O2131" s="26"/>
      <c r="P2131" s="26">
        <v>69.53</v>
      </c>
      <c r="Q2131" s="26"/>
      <c r="R2131" s="26">
        <v>71.94</v>
      </c>
      <c r="T2131" s="26">
        <v>71.16</v>
      </c>
    </row>
    <row r="2132" spans="1:20" x14ac:dyDescent="0.35">
      <c r="A2132" s="7">
        <v>45596</v>
      </c>
      <c r="L2132" s="26">
        <v>64.58</v>
      </c>
      <c r="M2132" s="26"/>
      <c r="N2132" s="26">
        <v>66.63</v>
      </c>
      <c r="O2132" s="26"/>
      <c r="P2132" s="26">
        <v>68.78</v>
      </c>
      <c r="Q2132" s="26"/>
      <c r="R2132" s="26">
        <v>71.25</v>
      </c>
      <c r="T2132" s="26">
        <v>70.45</v>
      </c>
    </row>
    <row r="2133" spans="1:20" x14ac:dyDescent="0.35">
      <c r="A2133" s="7">
        <v>45597</v>
      </c>
      <c r="L2133" s="26">
        <v>63.87</v>
      </c>
      <c r="M2133" s="26"/>
      <c r="N2133" s="26">
        <v>65.91</v>
      </c>
      <c r="O2133" s="26"/>
      <c r="P2133" s="26">
        <v>68.010000000000005</v>
      </c>
      <c r="Q2133" s="26"/>
      <c r="R2133" s="26">
        <v>70.47</v>
      </c>
      <c r="T2133" s="26">
        <v>69.67</v>
      </c>
    </row>
    <row r="2134" spans="1:20" x14ac:dyDescent="0.35">
      <c r="A2134" s="7">
        <v>45598</v>
      </c>
      <c r="L2134" s="26">
        <v>63.87</v>
      </c>
      <c r="M2134" s="26"/>
      <c r="N2134" s="26">
        <v>65.91</v>
      </c>
      <c r="O2134" s="26"/>
      <c r="P2134" s="26">
        <v>68.010000000000005</v>
      </c>
      <c r="Q2134" s="26"/>
      <c r="R2134" s="26">
        <v>70.47</v>
      </c>
      <c r="T2134" s="26">
        <v>69.67</v>
      </c>
    </row>
    <row r="2135" spans="1:20" x14ac:dyDescent="0.35">
      <c r="A2135" s="7">
        <v>45599</v>
      </c>
      <c r="L2135" s="26">
        <v>63.87</v>
      </c>
      <c r="M2135" s="26"/>
      <c r="N2135" s="26">
        <v>65.91</v>
      </c>
      <c r="O2135" s="26"/>
      <c r="P2135" s="26">
        <v>68.010000000000005</v>
      </c>
      <c r="Q2135" s="26"/>
      <c r="R2135" s="26">
        <v>70.47</v>
      </c>
      <c r="T2135" s="26">
        <v>69.67</v>
      </c>
    </row>
    <row r="2136" spans="1:20" x14ac:dyDescent="0.35">
      <c r="A2136" s="7">
        <v>45600</v>
      </c>
      <c r="L2136" s="26">
        <v>65.22</v>
      </c>
      <c r="M2136" s="26"/>
      <c r="N2136" s="26">
        <v>67.290000000000006</v>
      </c>
      <c r="O2136" s="26"/>
      <c r="P2136" s="26">
        <v>69.45</v>
      </c>
      <c r="Q2136" s="26"/>
      <c r="R2136" s="26">
        <v>71.91</v>
      </c>
      <c r="T2136" s="26">
        <v>71.12</v>
      </c>
    </row>
    <row r="2137" spans="1:20" x14ac:dyDescent="0.35">
      <c r="A2137" s="7">
        <v>45601</v>
      </c>
      <c r="L2137" s="26">
        <v>64.3</v>
      </c>
      <c r="M2137" s="26"/>
      <c r="N2137" s="26">
        <v>66.36</v>
      </c>
      <c r="O2137" s="26"/>
      <c r="P2137" s="26">
        <v>68.52</v>
      </c>
      <c r="Q2137" s="26"/>
      <c r="R2137" s="26">
        <v>70.959999999999994</v>
      </c>
      <c r="T2137" s="26">
        <v>70.16</v>
      </c>
    </row>
    <row r="2138" spans="1:20" x14ac:dyDescent="0.35">
      <c r="A2138" s="7">
        <v>45602</v>
      </c>
      <c r="L2138" s="26">
        <v>63.76</v>
      </c>
      <c r="M2138" s="26"/>
      <c r="N2138" s="26">
        <v>65.73</v>
      </c>
      <c r="O2138" s="26"/>
      <c r="P2138" s="26">
        <v>67.819999999999993</v>
      </c>
      <c r="Q2138" s="26"/>
      <c r="R2138" s="26">
        <v>70.22</v>
      </c>
      <c r="T2138" s="26">
        <v>69.430000000000007</v>
      </c>
    </row>
    <row r="2139" spans="1:20" x14ac:dyDescent="0.35">
      <c r="A2139" s="7">
        <v>45603</v>
      </c>
      <c r="L2139" s="26">
        <v>66.040000000000006</v>
      </c>
      <c r="M2139" s="26"/>
      <c r="N2139" s="26">
        <v>68.05</v>
      </c>
      <c r="O2139" s="26"/>
      <c r="P2139" s="26">
        <v>70.150000000000006</v>
      </c>
      <c r="Q2139" s="26"/>
      <c r="R2139" s="26">
        <v>72.56</v>
      </c>
      <c r="T2139" s="26">
        <v>71.760000000000005</v>
      </c>
    </row>
    <row r="2140" spans="1:20" x14ac:dyDescent="0.35">
      <c r="A2140" s="7">
        <v>45604</v>
      </c>
      <c r="L2140" s="26">
        <v>68.02</v>
      </c>
      <c r="M2140" s="26"/>
      <c r="N2140" s="26">
        <v>70.11</v>
      </c>
      <c r="O2140" s="26"/>
      <c r="P2140" s="26">
        <v>72.22</v>
      </c>
      <c r="Q2140" s="26"/>
      <c r="R2140" s="26">
        <v>74.650000000000006</v>
      </c>
      <c r="T2140" s="26">
        <v>73.84</v>
      </c>
    </row>
    <row r="2141" spans="1:20" x14ac:dyDescent="0.35">
      <c r="A2141" s="7">
        <v>45605</v>
      </c>
      <c r="L2141" s="26">
        <v>68.02</v>
      </c>
      <c r="M2141" s="26"/>
      <c r="N2141" s="26">
        <v>70.11</v>
      </c>
      <c r="O2141" s="26"/>
      <c r="P2141" s="26">
        <v>72.22</v>
      </c>
      <c r="Q2141" s="26"/>
      <c r="R2141" s="26">
        <v>74.650000000000006</v>
      </c>
      <c r="T2141" s="26">
        <v>73.84</v>
      </c>
    </row>
    <row r="2142" spans="1:20" x14ac:dyDescent="0.35">
      <c r="A2142" s="7">
        <v>45606</v>
      </c>
      <c r="L2142" s="26">
        <v>68.02</v>
      </c>
      <c r="M2142" s="26"/>
      <c r="N2142" s="26">
        <v>70.11</v>
      </c>
      <c r="O2142" s="26"/>
      <c r="P2142" s="26">
        <v>72.22</v>
      </c>
      <c r="Q2142" s="26"/>
      <c r="R2142" s="26">
        <v>74.650000000000006</v>
      </c>
      <c r="T2142" s="26">
        <v>73.84</v>
      </c>
    </row>
    <row r="2143" spans="1:20" x14ac:dyDescent="0.35">
      <c r="A2143" s="7">
        <v>45607</v>
      </c>
      <c r="L2143" s="26">
        <v>67.569999999999993</v>
      </c>
      <c r="M2143" s="26"/>
      <c r="N2143" s="26">
        <v>69.64</v>
      </c>
      <c r="O2143" s="26"/>
      <c r="P2143" s="26">
        <v>71.73</v>
      </c>
      <c r="Q2143" s="26"/>
      <c r="R2143" s="26">
        <v>74.11</v>
      </c>
      <c r="T2143" s="26">
        <v>73.33</v>
      </c>
    </row>
    <row r="2144" spans="1:20" x14ac:dyDescent="0.35">
      <c r="A2144" s="7">
        <v>45608</v>
      </c>
      <c r="L2144" s="26">
        <v>67.53</v>
      </c>
      <c r="M2144" s="26"/>
      <c r="N2144" s="26">
        <v>69.56</v>
      </c>
      <c r="O2144" s="26"/>
      <c r="P2144" s="26">
        <v>71.63</v>
      </c>
      <c r="Q2144" s="26"/>
      <c r="R2144" s="26">
        <v>73.959999999999994</v>
      </c>
      <c r="T2144" s="26">
        <v>73.19</v>
      </c>
    </row>
    <row r="2145" spans="1:20" x14ac:dyDescent="0.35">
      <c r="A2145" s="7">
        <v>45609</v>
      </c>
      <c r="L2145" s="26">
        <v>66.31</v>
      </c>
      <c r="M2145" s="26"/>
      <c r="N2145" s="26">
        <v>68.33</v>
      </c>
      <c r="O2145" s="26"/>
      <c r="P2145" s="26">
        <v>70.41</v>
      </c>
      <c r="Q2145" s="26"/>
      <c r="R2145" s="26">
        <v>72.739999999999995</v>
      </c>
      <c r="T2145" s="26">
        <v>71.97</v>
      </c>
    </row>
    <row r="2146" spans="1:20" x14ac:dyDescent="0.35">
      <c r="A2146" s="7">
        <v>45610</v>
      </c>
      <c r="L2146" s="26">
        <v>68.27</v>
      </c>
      <c r="M2146" s="26"/>
      <c r="N2146" s="26">
        <v>70.31</v>
      </c>
      <c r="O2146" s="26"/>
      <c r="P2146" s="26">
        <v>72.42</v>
      </c>
      <c r="Q2146" s="26"/>
      <c r="R2146" s="26">
        <v>74.75</v>
      </c>
      <c r="T2146" s="26">
        <v>73.97</v>
      </c>
    </row>
    <row r="2147" spans="1:20" x14ac:dyDescent="0.35">
      <c r="A2147" s="7">
        <v>45611</v>
      </c>
      <c r="L2147" s="26">
        <v>68.010000000000005</v>
      </c>
      <c r="M2147" s="26"/>
      <c r="N2147" s="26">
        <v>70.08</v>
      </c>
      <c r="O2147" s="26"/>
      <c r="P2147" s="26">
        <v>72.180000000000007</v>
      </c>
      <c r="Q2147" s="26"/>
      <c r="R2147" s="26">
        <v>74.56</v>
      </c>
      <c r="T2147" s="26">
        <v>73.760000000000005</v>
      </c>
    </row>
    <row r="2148" spans="1:20" x14ac:dyDescent="0.35">
      <c r="A2148" s="7">
        <v>45612</v>
      </c>
      <c r="L2148" s="26">
        <v>68.010000000000005</v>
      </c>
      <c r="M2148" s="26"/>
      <c r="N2148" s="26">
        <v>70.08</v>
      </c>
      <c r="O2148" s="26"/>
      <c r="P2148" s="26">
        <v>72.180000000000007</v>
      </c>
      <c r="Q2148" s="26"/>
      <c r="R2148" s="26">
        <v>74.56</v>
      </c>
      <c r="T2148" s="26">
        <v>73.760000000000005</v>
      </c>
    </row>
    <row r="2149" spans="1:20" x14ac:dyDescent="0.35">
      <c r="A2149" s="7">
        <v>45613</v>
      </c>
      <c r="L2149" s="26">
        <v>68.010000000000005</v>
      </c>
      <c r="M2149" s="26"/>
      <c r="N2149" s="26">
        <v>70.08</v>
      </c>
      <c r="O2149" s="26"/>
      <c r="P2149" s="26">
        <v>72.180000000000007</v>
      </c>
      <c r="Q2149" s="26"/>
      <c r="R2149" s="26">
        <v>74.56</v>
      </c>
      <c r="T2149" s="26">
        <v>73.760000000000005</v>
      </c>
    </row>
    <row r="2150" spans="1:20" x14ac:dyDescent="0.35">
      <c r="A2150" s="7">
        <v>45614</v>
      </c>
      <c r="L2150" s="26">
        <v>69.510000000000005</v>
      </c>
      <c r="M2150" s="26"/>
      <c r="N2150" s="26">
        <v>71.680000000000007</v>
      </c>
      <c r="O2150" s="26"/>
      <c r="P2150" s="26">
        <v>73.83</v>
      </c>
      <c r="Q2150" s="26"/>
      <c r="R2150" s="26">
        <v>76.28</v>
      </c>
      <c r="T2150" s="26">
        <v>75.47</v>
      </c>
    </row>
    <row r="2151" spans="1:20" x14ac:dyDescent="0.35">
      <c r="A2151" s="7">
        <v>45615</v>
      </c>
      <c r="L2151" s="26">
        <v>68.13</v>
      </c>
      <c r="M2151" s="26"/>
      <c r="N2151" s="26">
        <v>70.260000000000005</v>
      </c>
      <c r="O2151" s="26"/>
      <c r="P2151" s="26">
        <v>72.39</v>
      </c>
      <c r="Q2151" s="26"/>
      <c r="R2151" s="26">
        <v>74.849999999999994</v>
      </c>
      <c r="T2151" s="26">
        <v>74.03</v>
      </c>
    </row>
    <row r="2152" spans="1:20" x14ac:dyDescent="0.35">
      <c r="A2152" s="7">
        <v>45616</v>
      </c>
      <c r="L2152" s="26">
        <v>68.38</v>
      </c>
      <c r="M2152" s="26"/>
      <c r="N2152" s="26">
        <v>70.53</v>
      </c>
      <c r="O2152" s="26"/>
      <c r="P2152" s="26">
        <v>72.67</v>
      </c>
      <c r="Q2152" s="26"/>
      <c r="R2152" s="26">
        <v>75.11</v>
      </c>
      <c r="T2152" s="26">
        <v>74.31</v>
      </c>
    </row>
    <row r="2153" spans="1:20" x14ac:dyDescent="0.35">
      <c r="A2153" s="7">
        <v>45617</v>
      </c>
      <c r="L2153" s="26">
        <v>69.989999999999995</v>
      </c>
      <c r="M2153" s="26"/>
      <c r="N2153" s="26">
        <v>72.180000000000007</v>
      </c>
      <c r="O2153" s="26"/>
      <c r="P2153" s="26">
        <v>74.34</v>
      </c>
      <c r="Q2153" s="26"/>
      <c r="R2153" s="26">
        <v>76.8</v>
      </c>
      <c r="T2153" s="26">
        <v>75.989999999999995</v>
      </c>
    </row>
    <row r="2154" spans="1:20" x14ac:dyDescent="0.35">
      <c r="A2154" s="7">
        <v>45618</v>
      </c>
      <c r="L2154" s="26">
        <v>69.27</v>
      </c>
      <c r="M2154" s="26"/>
      <c r="N2154" s="26">
        <v>71.400000000000006</v>
      </c>
      <c r="O2154" s="26"/>
      <c r="P2154" s="26">
        <v>73.52</v>
      </c>
      <c r="Q2154" s="26"/>
      <c r="R2154" s="26">
        <v>75.98</v>
      </c>
      <c r="T2154" s="26">
        <v>75.17</v>
      </c>
    </row>
    <row r="2155" spans="1:20" x14ac:dyDescent="0.35">
      <c r="A2155" s="7">
        <v>45619</v>
      </c>
      <c r="L2155" s="26">
        <v>69.27</v>
      </c>
      <c r="M2155" s="26"/>
      <c r="N2155" s="26">
        <v>71.400000000000006</v>
      </c>
      <c r="O2155" s="26"/>
      <c r="P2155" s="26">
        <v>73.52</v>
      </c>
      <c r="Q2155" s="26"/>
      <c r="R2155" s="26">
        <v>75.98</v>
      </c>
      <c r="T2155" s="26">
        <v>75.17</v>
      </c>
    </row>
    <row r="2156" spans="1:20" x14ac:dyDescent="0.35">
      <c r="A2156" s="7">
        <v>45620</v>
      </c>
      <c r="L2156" s="26">
        <v>69.27</v>
      </c>
      <c r="M2156" s="26"/>
      <c r="N2156" s="26">
        <v>71.400000000000006</v>
      </c>
      <c r="O2156" s="26"/>
      <c r="P2156" s="26">
        <v>73.52</v>
      </c>
      <c r="Q2156" s="26"/>
      <c r="R2156" s="26">
        <v>75.98</v>
      </c>
      <c r="T2156" s="26">
        <v>75.17</v>
      </c>
    </row>
    <row r="2157" spans="1:20" x14ac:dyDescent="0.35">
      <c r="A2157" s="7">
        <v>45621</v>
      </c>
      <c r="L2157" s="26">
        <v>69.86</v>
      </c>
      <c r="M2157" s="26"/>
      <c r="N2157" s="26">
        <v>71.989999999999995</v>
      </c>
      <c r="O2157" s="26"/>
      <c r="P2157" s="26">
        <v>74.12</v>
      </c>
      <c r="Q2157" s="26"/>
      <c r="R2157" s="26">
        <v>76.55</v>
      </c>
      <c r="T2157" s="26">
        <v>75.75</v>
      </c>
    </row>
    <row r="2158" spans="1:20" x14ac:dyDescent="0.35">
      <c r="A2158" s="7">
        <v>45622</v>
      </c>
      <c r="L2158" s="26">
        <v>69.23</v>
      </c>
      <c r="M2158" s="26"/>
      <c r="N2158" s="26">
        <v>71.349999999999994</v>
      </c>
      <c r="O2158" s="26"/>
      <c r="P2158" s="26">
        <v>73.47</v>
      </c>
      <c r="Q2158" s="26"/>
      <c r="R2158" s="26">
        <v>75.86</v>
      </c>
      <c r="T2158" s="26">
        <v>75.08</v>
      </c>
    </row>
    <row r="2159" spans="1:20" x14ac:dyDescent="0.35">
      <c r="A2159" s="7">
        <v>45623</v>
      </c>
      <c r="L2159" s="26">
        <v>68.47</v>
      </c>
      <c r="M2159" s="26"/>
      <c r="N2159" s="26">
        <v>70.59</v>
      </c>
      <c r="O2159" s="26"/>
      <c r="P2159" s="26">
        <v>72.69</v>
      </c>
      <c r="Q2159" s="26"/>
      <c r="R2159" s="26">
        <v>75.099999999999994</v>
      </c>
      <c r="T2159" s="26">
        <v>74.31</v>
      </c>
    </row>
    <row r="2160" spans="1:20" x14ac:dyDescent="0.35">
      <c r="A2160" s="7">
        <v>45624</v>
      </c>
      <c r="L2160" s="26">
        <v>67.63</v>
      </c>
      <c r="M2160" s="26"/>
      <c r="N2160" s="26">
        <v>69.75</v>
      </c>
      <c r="O2160" s="26"/>
      <c r="P2160" s="26">
        <v>71.81</v>
      </c>
      <c r="Q2160" s="26"/>
      <c r="R2160" s="26">
        <v>74.180000000000007</v>
      </c>
      <c r="T2160" s="26">
        <v>73.39</v>
      </c>
    </row>
    <row r="2161" spans="1:20" x14ac:dyDescent="0.35">
      <c r="A2161" s="7">
        <v>45625</v>
      </c>
      <c r="L2161" s="26">
        <v>68.400000000000006</v>
      </c>
      <c r="M2161" s="26"/>
      <c r="N2161" s="26">
        <v>70.489999999999995</v>
      </c>
      <c r="O2161" s="26"/>
      <c r="P2161" s="26">
        <v>72.56</v>
      </c>
      <c r="Q2161" s="26"/>
      <c r="R2161" s="26">
        <v>74.92</v>
      </c>
      <c r="T2161" s="26">
        <v>74.150000000000006</v>
      </c>
    </row>
    <row r="2162" spans="1:20" x14ac:dyDescent="0.35">
      <c r="A2162" s="7">
        <v>45626</v>
      </c>
      <c r="L2162" s="26">
        <v>68.400000000000006</v>
      </c>
      <c r="M2162" s="26"/>
      <c r="N2162" s="26">
        <v>70.489999999999995</v>
      </c>
      <c r="O2162" s="26"/>
      <c r="P2162" s="26">
        <v>72.56</v>
      </c>
      <c r="Q2162" s="26"/>
      <c r="R2162" s="26">
        <v>74.92</v>
      </c>
      <c r="T2162" s="26">
        <v>74.150000000000006</v>
      </c>
    </row>
    <row r="2163" spans="1:20" x14ac:dyDescent="0.35">
      <c r="A2163" s="7">
        <v>45627</v>
      </c>
      <c r="L2163" s="26">
        <v>68.400000000000006</v>
      </c>
      <c r="M2163" s="26"/>
      <c r="N2163" s="26">
        <v>70.489999999999995</v>
      </c>
      <c r="O2163" s="26"/>
      <c r="P2163" s="26">
        <v>72.56</v>
      </c>
      <c r="Q2163" s="26"/>
      <c r="R2163" s="26">
        <v>74.92</v>
      </c>
      <c r="T2163" s="26">
        <v>74.150000000000006</v>
      </c>
    </row>
    <row r="2164" spans="1:20" x14ac:dyDescent="0.35">
      <c r="A2164" s="7">
        <v>45628</v>
      </c>
      <c r="L2164" s="26">
        <v>68.83</v>
      </c>
      <c r="M2164" s="26"/>
      <c r="N2164" s="26">
        <v>70.95</v>
      </c>
      <c r="O2164" s="26"/>
      <c r="P2164" s="26">
        <v>72.95</v>
      </c>
      <c r="Q2164" s="26"/>
      <c r="R2164" s="26">
        <v>75.14</v>
      </c>
      <c r="T2164" s="26">
        <v>74.45</v>
      </c>
    </row>
    <row r="2165" spans="1:20" x14ac:dyDescent="0.35">
      <c r="A2165" s="7">
        <v>45629</v>
      </c>
      <c r="L2165" s="26">
        <v>68.489999999999995</v>
      </c>
      <c r="M2165" s="26"/>
      <c r="N2165" s="26">
        <v>70.58</v>
      </c>
      <c r="O2165" s="26"/>
      <c r="P2165" s="26">
        <v>72.569999999999993</v>
      </c>
      <c r="Q2165" s="26"/>
      <c r="R2165" s="26">
        <v>74.77</v>
      </c>
      <c r="T2165" s="26">
        <v>74.069999999999993</v>
      </c>
    </row>
    <row r="2166" spans="1:20" x14ac:dyDescent="0.35">
      <c r="A2166" s="7">
        <v>45630</v>
      </c>
      <c r="L2166" s="26">
        <v>67.86</v>
      </c>
      <c r="M2166" s="26"/>
      <c r="N2166" s="26">
        <v>69.95</v>
      </c>
      <c r="O2166" s="26"/>
      <c r="P2166" s="26">
        <v>71.94</v>
      </c>
      <c r="Q2166" s="26"/>
      <c r="R2166" s="26">
        <v>74.16</v>
      </c>
      <c r="T2166" s="26">
        <v>73.44</v>
      </c>
    </row>
    <row r="2167" spans="1:20" x14ac:dyDescent="0.35">
      <c r="A2167" s="7">
        <v>45631</v>
      </c>
      <c r="L2167" s="26">
        <v>67.34</v>
      </c>
      <c r="M2167" s="26"/>
      <c r="N2167" s="26">
        <v>69.430000000000007</v>
      </c>
      <c r="O2167" s="26"/>
      <c r="P2167" s="26">
        <v>71.44</v>
      </c>
      <c r="Q2167" s="26"/>
      <c r="R2167" s="26">
        <v>73.680000000000007</v>
      </c>
      <c r="T2167" s="26">
        <v>72.95</v>
      </c>
    </row>
    <row r="2168" spans="1:20" x14ac:dyDescent="0.35">
      <c r="A2168" s="7">
        <v>45632</v>
      </c>
      <c r="L2168" s="26">
        <v>68.31</v>
      </c>
      <c r="M2168" s="26"/>
      <c r="N2168" s="26">
        <v>70.430000000000007</v>
      </c>
      <c r="O2168" s="26"/>
      <c r="P2168" s="26">
        <v>72.489999999999995</v>
      </c>
      <c r="Q2168" s="26"/>
      <c r="R2168" s="26">
        <v>74.73</v>
      </c>
      <c r="T2168" s="26">
        <v>73.989999999999995</v>
      </c>
    </row>
    <row r="2169" spans="1:20" x14ac:dyDescent="0.35">
      <c r="A2169" s="7">
        <v>45633</v>
      </c>
      <c r="L2169" s="26">
        <v>68.31</v>
      </c>
      <c r="M2169" s="26"/>
      <c r="N2169" s="26">
        <v>70.430000000000007</v>
      </c>
      <c r="O2169" s="26"/>
      <c r="P2169" s="26">
        <v>72.489999999999995</v>
      </c>
      <c r="Q2169" s="26"/>
      <c r="R2169" s="26">
        <v>74.73</v>
      </c>
      <c r="T2169" s="26">
        <v>73.989999999999995</v>
      </c>
    </row>
    <row r="2170" spans="1:20" x14ac:dyDescent="0.35">
      <c r="A2170" s="7">
        <v>45634</v>
      </c>
      <c r="L2170" s="26">
        <v>68.31</v>
      </c>
      <c r="M2170" s="26"/>
      <c r="N2170" s="26">
        <v>70.430000000000007</v>
      </c>
      <c r="O2170" s="26"/>
      <c r="P2170" s="26">
        <v>72.489999999999995</v>
      </c>
      <c r="Q2170" s="26"/>
      <c r="R2170" s="26">
        <v>74.73</v>
      </c>
      <c r="T2170" s="26">
        <v>73.989999999999995</v>
      </c>
    </row>
    <row r="2171" spans="1:20" x14ac:dyDescent="0.35">
      <c r="A2171" s="7">
        <v>45635</v>
      </c>
      <c r="L2171" s="26">
        <v>66.37</v>
      </c>
      <c r="M2171" s="26"/>
      <c r="N2171" s="26">
        <v>68.430000000000007</v>
      </c>
      <c r="O2171" s="26"/>
      <c r="P2171" s="26">
        <v>70.44</v>
      </c>
      <c r="Q2171" s="26"/>
      <c r="R2171" s="26">
        <v>72.680000000000007</v>
      </c>
      <c r="T2171" s="26">
        <v>71.95</v>
      </c>
    </row>
    <row r="2172" spans="1:20" x14ac:dyDescent="0.35">
      <c r="A2172" s="7">
        <v>45636</v>
      </c>
      <c r="L2172" s="26">
        <v>68.180000000000007</v>
      </c>
      <c r="M2172" s="26"/>
      <c r="N2172" s="26">
        <v>70.27</v>
      </c>
      <c r="O2172" s="26"/>
      <c r="P2172" s="26">
        <v>72.28</v>
      </c>
      <c r="Q2172" s="26"/>
      <c r="R2172" s="26">
        <v>74.55</v>
      </c>
      <c r="T2172" s="26">
        <v>73.8</v>
      </c>
    </row>
    <row r="2173" spans="1:20" x14ac:dyDescent="0.35">
      <c r="A2173" s="7">
        <v>45637</v>
      </c>
      <c r="L2173" s="26">
        <v>68.63</v>
      </c>
      <c r="M2173" s="26"/>
      <c r="N2173" s="26">
        <v>70.75</v>
      </c>
      <c r="O2173" s="26"/>
      <c r="P2173" s="26">
        <v>72.77</v>
      </c>
      <c r="Q2173" s="26"/>
      <c r="R2173" s="26">
        <v>75.040000000000006</v>
      </c>
      <c r="T2173" s="26">
        <v>74.290000000000006</v>
      </c>
    </row>
    <row r="2174" spans="1:20" x14ac:dyDescent="0.35">
      <c r="A2174" s="7">
        <v>45638</v>
      </c>
      <c r="L2174" s="26">
        <v>66.099999999999994</v>
      </c>
      <c r="M2174" s="26"/>
      <c r="N2174" s="26">
        <v>68.17</v>
      </c>
      <c r="O2174" s="26"/>
      <c r="P2174" s="26">
        <v>70.150000000000006</v>
      </c>
      <c r="Q2174" s="26"/>
      <c r="R2174" s="26">
        <v>72.459999999999994</v>
      </c>
      <c r="T2174" s="26">
        <v>71.709999999999994</v>
      </c>
    </row>
    <row r="2175" spans="1:20" x14ac:dyDescent="0.35">
      <c r="A2175" s="7">
        <v>45639</v>
      </c>
      <c r="L2175" s="26">
        <v>64.430000000000007</v>
      </c>
      <c r="M2175" s="26"/>
      <c r="N2175" s="26">
        <v>66.47</v>
      </c>
      <c r="O2175" s="26"/>
      <c r="P2175" s="26">
        <v>68.459999999999994</v>
      </c>
      <c r="Q2175" s="26"/>
      <c r="R2175" s="26">
        <v>70.77</v>
      </c>
      <c r="T2175" s="26">
        <v>70.02</v>
      </c>
    </row>
    <row r="2176" spans="1:20" x14ac:dyDescent="0.35">
      <c r="A2176" s="7">
        <v>45640</v>
      </c>
      <c r="L2176" s="26">
        <v>64.430000000000007</v>
      </c>
      <c r="M2176" s="26"/>
      <c r="N2176" s="26">
        <v>66.47</v>
      </c>
      <c r="O2176" s="26"/>
      <c r="P2176" s="26">
        <v>68.459999999999994</v>
      </c>
      <c r="Q2176" s="26"/>
      <c r="R2176" s="26">
        <v>70.77</v>
      </c>
      <c r="T2176" s="26">
        <v>70.02</v>
      </c>
    </row>
    <row r="2177" spans="1:20" x14ac:dyDescent="0.35">
      <c r="A2177" s="7">
        <v>45641</v>
      </c>
      <c r="L2177" s="26">
        <v>64.430000000000007</v>
      </c>
      <c r="M2177" s="26"/>
      <c r="N2177" s="26">
        <v>66.47</v>
      </c>
      <c r="O2177" s="26"/>
      <c r="P2177" s="26">
        <v>68.459999999999994</v>
      </c>
      <c r="Q2177" s="26"/>
      <c r="R2177" s="26">
        <v>70.77</v>
      </c>
      <c r="T2177" s="26">
        <v>70.02</v>
      </c>
    </row>
    <row r="2178" spans="1:20" x14ac:dyDescent="0.35">
      <c r="A2178" s="7">
        <v>45642</v>
      </c>
      <c r="M2178" s="26">
        <v>63.97</v>
      </c>
      <c r="N2178" s="26">
        <v>65.27</v>
      </c>
      <c r="O2178" s="26"/>
      <c r="P2178" s="26">
        <v>67.22</v>
      </c>
      <c r="Q2178" s="26"/>
      <c r="R2178" s="26">
        <v>69.47</v>
      </c>
      <c r="T2178" s="26">
        <v>68.739999999999995</v>
      </c>
    </row>
    <row r="2179" spans="1:20" x14ac:dyDescent="0.35">
      <c r="A2179" s="7">
        <v>45643</v>
      </c>
      <c r="M2179" s="26">
        <v>62.96</v>
      </c>
      <c r="N2179" s="26">
        <v>64.260000000000005</v>
      </c>
      <c r="O2179" s="26"/>
      <c r="P2179" s="26">
        <v>66.2</v>
      </c>
      <c r="Q2179" s="26"/>
      <c r="R2179" s="26">
        <v>68.45</v>
      </c>
      <c r="T2179" s="26">
        <v>67.69</v>
      </c>
    </row>
    <row r="2180" spans="1:20" x14ac:dyDescent="0.35">
      <c r="A2180" s="7">
        <v>45644</v>
      </c>
      <c r="M2180" s="26">
        <v>63.6</v>
      </c>
      <c r="N2180" s="26">
        <v>64.86</v>
      </c>
      <c r="O2180" s="26"/>
      <c r="P2180" s="26">
        <v>66.739999999999995</v>
      </c>
      <c r="Q2180" s="26"/>
      <c r="R2180" s="26">
        <v>68.930000000000007</v>
      </c>
      <c r="T2180" s="26">
        <v>68.19</v>
      </c>
    </row>
    <row r="2181" spans="1:20" x14ac:dyDescent="0.35">
      <c r="A2181" s="7">
        <v>45645</v>
      </c>
      <c r="M2181" s="26">
        <v>66.36</v>
      </c>
      <c r="N2181" s="26">
        <v>67.69</v>
      </c>
      <c r="O2181" s="26"/>
      <c r="P2181" s="26">
        <v>69.650000000000006</v>
      </c>
      <c r="Q2181" s="26"/>
      <c r="R2181" s="26">
        <v>71.87</v>
      </c>
      <c r="T2181" s="26">
        <v>71.11</v>
      </c>
    </row>
    <row r="2182" spans="1:20" x14ac:dyDescent="0.35">
      <c r="A2182" s="7">
        <v>45646</v>
      </c>
      <c r="M2182" s="26">
        <v>66.849999999999994</v>
      </c>
      <c r="N2182" s="26">
        <v>68.2</v>
      </c>
      <c r="O2182" s="26"/>
      <c r="P2182" s="26">
        <v>70.180000000000007</v>
      </c>
      <c r="Q2182" s="26"/>
      <c r="R2182" s="26">
        <v>72.430000000000007</v>
      </c>
      <c r="T2182" s="26">
        <v>71.66</v>
      </c>
    </row>
    <row r="2183" spans="1:20" x14ac:dyDescent="0.35">
      <c r="A2183" s="7">
        <v>45647</v>
      </c>
      <c r="M2183" s="26">
        <v>66.849999999999994</v>
      </c>
      <c r="N2183" s="26">
        <v>68.2</v>
      </c>
      <c r="O2183" s="26"/>
      <c r="P2183" s="26">
        <v>70.180000000000007</v>
      </c>
      <c r="Q2183" s="26"/>
      <c r="R2183" s="26">
        <v>72.430000000000007</v>
      </c>
      <c r="T2183" s="26">
        <v>71.66</v>
      </c>
    </row>
    <row r="2184" spans="1:20" x14ac:dyDescent="0.35">
      <c r="A2184" s="7">
        <v>45648</v>
      </c>
      <c r="M2184" s="26">
        <v>66.849999999999994</v>
      </c>
      <c r="N2184" s="26">
        <v>68.2</v>
      </c>
      <c r="O2184" s="26"/>
      <c r="P2184" s="26">
        <v>70.180000000000007</v>
      </c>
      <c r="Q2184" s="26"/>
      <c r="R2184" s="26">
        <v>72.430000000000007</v>
      </c>
      <c r="T2184" s="26">
        <v>71.66</v>
      </c>
    </row>
    <row r="2185" spans="1:20" x14ac:dyDescent="0.35">
      <c r="A2185" s="7">
        <v>45649</v>
      </c>
      <c r="M2185" s="26">
        <v>68.290000000000006</v>
      </c>
      <c r="N2185" s="26">
        <v>69.680000000000007</v>
      </c>
      <c r="O2185" s="26"/>
      <c r="P2185" s="26">
        <v>71.680000000000007</v>
      </c>
      <c r="Q2185" s="26"/>
      <c r="R2185" s="26">
        <v>73.930000000000007</v>
      </c>
      <c r="T2185" s="26">
        <v>73.16</v>
      </c>
    </row>
    <row r="2186" spans="1:20" x14ac:dyDescent="0.35">
      <c r="A2186" s="7">
        <v>45650</v>
      </c>
      <c r="M2186" s="26">
        <v>68.08</v>
      </c>
      <c r="N2186" s="26">
        <v>69.47</v>
      </c>
      <c r="O2186" s="26"/>
      <c r="P2186" s="26">
        <v>71.459999999999994</v>
      </c>
      <c r="Q2186" s="26"/>
      <c r="R2186" s="26">
        <v>73.72</v>
      </c>
      <c r="T2186" s="26">
        <v>73.16</v>
      </c>
    </row>
    <row r="2187" spans="1:20" x14ac:dyDescent="0.35">
      <c r="A2187" s="7">
        <v>45651</v>
      </c>
      <c r="M2187" s="26">
        <v>68.08</v>
      </c>
      <c r="N2187" s="26">
        <v>69.47</v>
      </c>
      <c r="O2187" s="26"/>
      <c r="P2187" s="26">
        <v>71.459999999999994</v>
      </c>
      <c r="Q2187" s="26"/>
      <c r="R2187" s="26">
        <v>73.72</v>
      </c>
      <c r="T2187" s="26">
        <v>73.16</v>
      </c>
    </row>
    <row r="2188" spans="1:20" x14ac:dyDescent="0.35">
      <c r="A2188" s="7">
        <v>45652</v>
      </c>
      <c r="M2188" s="26">
        <v>68.08</v>
      </c>
      <c r="N2188" s="26">
        <v>69.47</v>
      </c>
      <c r="O2188" s="26"/>
      <c r="P2188" s="26">
        <v>71.459999999999994</v>
      </c>
      <c r="Q2188" s="26"/>
      <c r="R2188" s="26">
        <v>73.72</v>
      </c>
      <c r="T2188" s="26">
        <v>73.16</v>
      </c>
    </row>
    <row r="2189" spans="1:20" x14ac:dyDescent="0.35">
      <c r="A2189" s="7">
        <v>45653</v>
      </c>
      <c r="M2189" s="26">
        <v>70.099999999999994</v>
      </c>
      <c r="N2189" s="26">
        <v>71.56</v>
      </c>
      <c r="O2189" s="26"/>
      <c r="P2189" s="26">
        <v>73.62</v>
      </c>
      <c r="Q2189" s="26"/>
      <c r="R2189" s="26">
        <v>76</v>
      </c>
      <c r="T2189" s="26">
        <v>75.19</v>
      </c>
    </row>
    <row r="2190" spans="1:20" x14ac:dyDescent="0.35">
      <c r="A2190" s="7">
        <v>45654</v>
      </c>
      <c r="M2190" s="26">
        <v>70.099999999999994</v>
      </c>
      <c r="N2190" s="26">
        <v>71.56</v>
      </c>
      <c r="O2190" s="26"/>
      <c r="P2190" s="26">
        <v>73.62</v>
      </c>
      <c r="Q2190" s="26"/>
      <c r="R2190" s="26">
        <v>76</v>
      </c>
      <c r="T2190" s="26">
        <v>75.19</v>
      </c>
    </row>
    <row r="2191" spans="1:20" x14ac:dyDescent="0.35">
      <c r="A2191" s="7">
        <v>45655</v>
      </c>
      <c r="M2191" s="26">
        <v>70.099999999999994</v>
      </c>
      <c r="N2191" s="26">
        <v>71.56</v>
      </c>
      <c r="O2191" s="26"/>
      <c r="P2191" s="26">
        <v>73.62</v>
      </c>
      <c r="Q2191" s="26"/>
      <c r="R2191" s="26">
        <v>76</v>
      </c>
      <c r="T2191" s="26">
        <v>75.19</v>
      </c>
    </row>
    <row r="2192" spans="1:20" x14ac:dyDescent="0.35">
      <c r="A2192" s="7">
        <v>45656</v>
      </c>
      <c r="M2192" s="26">
        <v>70.58</v>
      </c>
      <c r="N2192" s="26">
        <v>71.98</v>
      </c>
      <c r="O2192" s="26"/>
      <c r="P2192" s="26">
        <v>74.040000000000006</v>
      </c>
      <c r="Q2192" s="26"/>
      <c r="R2192" s="26">
        <v>76.42</v>
      </c>
      <c r="T2192" s="26">
        <v>75.69</v>
      </c>
    </row>
    <row r="2193" spans="1:20" x14ac:dyDescent="0.35">
      <c r="A2193" s="7">
        <v>45657</v>
      </c>
      <c r="M2193" s="26">
        <v>71.569999999999993</v>
      </c>
      <c r="N2193" s="26">
        <v>73</v>
      </c>
      <c r="O2193" s="26"/>
      <c r="P2193" s="26">
        <v>75.09</v>
      </c>
      <c r="Q2193" s="26"/>
      <c r="R2193" s="26">
        <v>77.42</v>
      </c>
      <c r="S2193" s="26">
        <v>81.47</v>
      </c>
      <c r="T2193" s="26">
        <v>75.69</v>
      </c>
    </row>
    <row r="2194" spans="1:20" x14ac:dyDescent="0.35">
      <c r="A2194" s="7">
        <v>45658</v>
      </c>
      <c r="M2194" s="26">
        <v>71.569999999999993</v>
      </c>
      <c r="N2194" s="26">
        <v>73</v>
      </c>
      <c r="O2194" s="26"/>
      <c r="P2194" s="26">
        <v>75.09</v>
      </c>
      <c r="Q2194" s="26"/>
      <c r="R2194" s="26">
        <v>77.42</v>
      </c>
      <c r="S2194" s="26">
        <v>81.47</v>
      </c>
      <c r="T2194" s="26">
        <v>75.69</v>
      </c>
    </row>
    <row r="2195" spans="1:20" x14ac:dyDescent="0.35">
      <c r="A2195" s="7">
        <v>45659</v>
      </c>
      <c r="M2195" s="26">
        <v>73.739999999999995</v>
      </c>
      <c r="N2195" s="26">
        <v>75.19</v>
      </c>
      <c r="O2195" s="26"/>
      <c r="P2195" s="26">
        <v>77.33</v>
      </c>
      <c r="Q2195" s="26"/>
      <c r="R2195" s="26">
        <v>79.760000000000005</v>
      </c>
      <c r="S2195" s="26">
        <v>83.81</v>
      </c>
      <c r="T2195" s="26">
        <v>79.03</v>
      </c>
    </row>
    <row r="2196" spans="1:20" x14ac:dyDescent="0.35">
      <c r="A2196" s="7">
        <v>45660</v>
      </c>
      <c r="M2196" s="26">
        <v>74.45</v>
      </c>
      <c r="N2196" s="26">
        <v>75.94</v>
      </c>
      <c r="O2196" s="26"/>
      <c r="P2196" s="26">
        <v>78.150000000000006</v>
      </c>
      <c r="Q2196" s="26"/>
      <c r="R2196" s="26">
        <v>80.7</v>
      </c>
      <c r="S2196" s="26">
        <v>83.8</v>
      </c>
      <c r="T2196" s="26">
        <v>79.930000000000007</v>
      </c>
    </row>
    <row r="2197" spans="1:20" x14ac:dyDescent="0.35">
      <c r="A2197" s="7">
        <v>45661</v>
      </c>
      <c r="M2197" s="26">
        <v>72.87</v>
      </c>
      <c r="N2197" s="26">
        <v>74.36</v>
      </c>
      <c r="O2197" s="26"/>
      <c r="P2197" s="26">
        <v>76.59</v>
      </c>
      <c r="Q2197" s="26"/>
      <c r="R2197" s="26">
        <v>79.099999999999994</v>
      </c>
      <c r="S2197" s="26">
        <v>82.21</v>
      </c>
      <c r="T2197" s="26">
        <v>79.930000000000007</v>
      </c>
    </row>
    <row r="2198" spans="1:20" x14ac:dyDescent="0.35">
      <c r="A2198" s="7">
        <v>45662</v>
      </c>
      <c r="M2198" s="26">
        <v>72.87</v>
      </c>
      <c r="N2198" s="26">
        <v>74.36</v>
      </c>
      <c r="O2198" s="26"/>
      <c r="P2198" s="26">
        <v>76.59</v>
      </c>
      <c r="Q2198" s="26"/>
      <c r="R2198" s="26">
        <v>79.099999999999994</v>
      </c>
      <c r="S2198" s="26">
        <v>82.21</v>
      </c>
      <c r="T2198" s="26">
        <v>79.930000000000007</v>
      </c>
    </row>
    <row r="2199" spans="1:20" x14ac:dyDescent="0.35">
      <c r="A2199" s="7">
        <v>45663</v>
      </c>
      <c r="M2199" s="26">
        <v>72.87</v>
      </c>
      <c r="N2199" s="26">
        <v>74.36</v>
      </c>
      <c r="O2199" s="26"/>
      <c r="P2199" s="26">
        <v>76.59</v>
      </c>
      <c r="Q2199" s="26"/>
      <c r="R2199" s="26">
        <v>79.099999999999994</v>
      </c>
      <c r="S2199" s="26">
        <v>82.21</v>
      </c>
      <c r="T2199" s="26">
        <v>78.34</v>
      </c>
    </row>
    <row r="2200" spans="1:20" x14ac:dyDescent="0.35">
      <c r="A2200" s="7">
        <v>45664</v>
      </c>
      <c r="M2200" s="26">
        <v>72.56</v>
      </c>
      <c r="N2200" s="26">
        <v>74.040000000000006</v>
      </c>
      <c r="O2200" s="26"/>
      <c r="P2200" s="26">
        <v>76.260000000000005</v>
      </c>
      <c r="Q2200" s="26"/>
      <c r="R2200" s="26">
        <v>78.83</v>
      </c>
      <c r="S2200" s="26">
        <v>81.569999999999993</v>
      </c>
      <c r="T2200" s="26">
        <v>78.03</v>
      </c>
    </row>
    <row r="2201" spans="1:20" x14ac:dyDescent="0.35">
      <c r="A2201" s="7">
        <v>45665</v>
      </c>
      <c r="M2201" s="26">
        <v>70.7</v>
      </c>
      <c r="N2201" s="26">
        <v>72.17</v>
      </c>
      <c r="O2201" s="26"/>
      <c r="P2201" s="26">
        <v>74.33</v>
      </c>
      <c r="Q2201" s="26"/>
      <c r="R2201" s="26">
        <v>76.87</v>
      </c>
      <c r="S2201" s="26">
        <v>79.61</v>
      </c>
      <c r="T2201" s="26">
        <v>76.08</v>
      </c>
    </row>
    <row r="2202" spans="1:20" x14ac:dyDescent="0.35">
      <c r="A2202" s="7">
        <v>45666</v>
      </c>
      <c r="M2202" s="26">
        <v>71.98</v>
      </c>
      <c r="N2202" s="26">
        <v>73.459999999999994</v>
      </c>
      <c r="O2202" s="26"/>
      <c r="P2202" s="26">
        <v>75.63</v>
      </c>
      <c r="Q2202" s="26"/>
      <c r="R2202" s="26">
        <v>78.28</v>
      </c>
      <c r="S2202" s="26">
        <v>81.02</v>
      </c>
      <c r="T2202" s="26">
        <v>77.41</v>
      </c>
    </row>
    <row r="2203" spans="1:20" x14ac:dyDescent="0.35">
      <c r="A2203" s="7">
        <v>45667</v>
      </c>
      <c r="M2203" s="26">
        <v>73.34</v>
      </c>
      <c r="N2203" s="26">
        <v>74.849999999999994</v>
      </c>
      <c r="O2203" s="26"/>
      <c r="P2203" s="26">
        <v>77.12</v>
      </c>
      <c r="Q2203" s="26"/>
      <c r="R2203" s="26">
        <v>79.8</v>
      </c>
      <c r="S2203" s="26">
        <v>82.51</v>
      </c>
      <c r="T2203" s="26">
        <v>78.89</v>
      </c>
    </row>
    <row r="2204" spans="1:20" x14ac:dyDescent="0.35">
      <c r="A2204" s="7">
        <v>45668</v>
      </c>
      <c r="M2204" s="26">
        <v>73.34</v>
      </c>
      <c r="N2204" s="26">
        <v>74.849999999999994</v>
      </c>
      <c r="O2204" s="26"/>
      <c r="P2204" s="26">
        <v>77.12</v>
      </c>
      <c r="Q2204" s="26"/>
      <c r="R2204" s="26">
        <v>79.8</v>
      </c>
      <c r="S2204" s="26">
        <v>82.51</v>
      </c>
      <c r="T2204" s="26">
        <v>78.89</v>
      </c>
    </row>
    <row r="2205" spans="1:20" x14ac:dyDescent="0.35">
      <c r="A2205" s="7">
        <v>45669</v>
      </c>
      <c r="M2205" s="26">
        <v>73.34</v>
      </c>
      <c r="N2205" s="26">
        <v>74.849999999999994</v>
      </c>
      <c r="O2205" s="26"/>
      <c r="P2205" s="26">
        <v>77.12</v>
      </c>
      <c r="Q2205" s="26"/>
      <c r="R2205" s="26">
        <v>79.8</v>
      </c>
      <c r="S2205" s="26">
        <v>82.51</v>
      </c>
      <c r="T2205" s="26">
        <v>78.89</v>
      </c>
    </row>
    <row r="2206" spans="1:20" x14ac:dyDescent="0.35">
      <c r="A2206" s="7">
        <v>45670</v>
      </c>
      <c r="M2206" s="26">
        <v>75.34</v>
      </c>
      <c r="N2206" s="26">
        <v>76.92</v>
      </c>
      <c r="O2206" s="26"/>
      <c r="P2206" s="26">
        <v>79.25</v>
      </c>
      <c r="Q2206" s="26"/>
      <c r="R2206" s="26">
        <v>82.01</v>
      </c>
      <c r="S2206" s="26">
        <v>84.81</v>
      </c>
      <c r="T2206" s="26">
        <v>81.03</v>
      </c>
    </row>
    <row r="2207" spans="1:20" x14ac:dyDescent="0.35">
      <c r="A2207" s="7">
        <v>45671</v>
      </c>
      <c r="M2207" s="26">
        <v>75.36</v>
      </c>
      <c r="N2207" s="26">
        <v>76.959999999999994</v>
      </c>
      <c r="O2207" s="26"/>
      <c r="P2207" s="26">
        <v>79.28</v>
      </c>
      <c r="Q2207" s="26"/>
      <c r="R2207" s="26">
        <v>82.03</v>
      </c>
      <c r="S2207" s="26">
        <v>84.88</v>
      </c>
      <c r="T2207" s="26">
        <v>81.05</v>
      </c>
    </row>
    <row r="2208" spans="1:20" x14ac:dyDescent="0.35">
      <c r="A2208" s="7">
        <v>45672</v>
      </c>
      <c r="M2208" s="26">
        <v>76.34</v>
      </c>
      <c r="N2208" s="26">
        <v>77.98</v>
      </c>
      <c r="O2208" s="26"/>
      <c r="P2208" s="26">
        <v>80.349999999999994</v>
      </c>
      <c r="Q2208" s="26"/>
      <c r="R2208" s="26">
        <v>83.07</v>
      </c>
      <c r="S2208" s="26">
        <v>85.9</v>
      </c>
      <c r="T2208" s="26">
        <v>82.1</v>
      </c>
    </row>
    <row r="2209" spans="1:20" x14ac:dyDescent="0.35">
      <c r="A2209" s="7">
        <v>45673</v>
      </c>
      <c r="M2209" s="26">
        <v>76.69</v>
      </c>
      <c r="N2209" s="26">
        <v>78.33</v>
      </c>
      <c r="O2209" s="26"/>
      <c r="P2209" s="26">
        <v>80.69</v>
      </c>
      <c r="Q2209" s="26"/>
      <c r="R2209" s="26">
        <v>83.37</v>
      </c>
      <c r="S2209" s="26">
        <v>86.2</v>
      </c>
      <c r="T2209" s="26">
        <v>82.41</v>
      </c>
    </row>
    <row r="2210" spans="1:20" x14ac:dyDescent="0.35">
      <c r="A2210" s="7">
        <v>45674</v>
      </c>
      <c r="M2210" s="26">
        <v>77.599999999999994</v>
      </c>
      <c r="N2210" s="26">
        <v>79.260000000000005</v>
      </c>
      <c r="O2210" s="26"/>
      <c r="P2210" s="26">
        <v>81.62</v>
      </c>
      <c r="Q2210" s="26"/>
      <c r="R2210" s="26">
        <v>84.29</v>
      </c>
      <c r="S2210" s="26">
        <v>87.14</v>
      </c>
      <c r="T2210" s="26">
        <v>83.33</v>
      </c>
    </row>
    <row r="2211" spans="1:20" x14ac:dyDescent="0.35">
      <c r="A2211" s="7">
        <v>45675</v>
      </c>
      <c r="M2211" s="26">
        <v>77.599999999999994</v>
      </c>
      <c r="N2211" s="26">
        <v>79.260000000000005</v>
      </c>
      <c r="O2211" s="26"/>
      <c r="P2211" s="26">
        <v>81.62</v>
      </c>
      <c r="Q2211" s="26"/>
      <c r="R2211" s="26">
        <v>84.29</v>
      </c>
      <c r="S2211" s="26">
        <v>87.14</v>
      </c>
      <c r="T2211" s="26">
        <v>83.33</v>
      </c>
    </row>
    <row r="2212" spans="1:20" x14ac:dyDescent="0.35">
      <c r="A2212" s="7">
        <v>45676</v>
      </c>
      <c r="M2212" s="26">
        <v>77.599999999999994</v>
      </c>
      <c r="N2212" s="26">
        <v>79.260000000000005</v>
      </c>
      <c r="O2212" s="26"/>
      <c r="P2212" s="26">
        <v>81.62</v>
      </c>
      <c r="Q2212" s="26"/>
      <c r="R2212" s="26">
        <v>84.29</v>
      </c>
      <c r="S2212" s="26">
        <v>87.14</v>
      </c>
      <c r="T2212" s="26">
        <v>83.33</v>
      </c>
    </row>
    <row r="2213" spans="1:20" x14ac:dyDescent="0.35">
      <c r="A2213" s="7">
        <v>45677</v>
      </c>
      <c r="M2213" s="26">
        <v>78.319999999999993</v>
      </c>
      <c r="N2213" s="26">
        <v>79.989999999999995</v>
      </c>
      <c r="O2213" s="26"/>
      <c r="P2213" s="26">
        <v>82.35</v>
      </c>
      <c r="Q2213" s="26"/>
      <c r="R2213" s="26">
        <v>85.01</v>
      </c>
      <c r="S2213" s="26">
        <v>87.87</v>
      </c>
      <c r="T2213" s="26">
        <v>84.06</v>
      </c>
    </row>
    <row r="2214" spans="1:20" x14ac:dyDescent="0.35">
      <c r="A2214" s="7">
        <v>45678</v>
      </c>
      <c r="M2214" s="26">
        <v>78.599999999999994</v>
      </c>
      <c r="N2214" s="26">
        <v>80.27</v>
      </c>
      <c r="O2214" s="26"/>
      <c r="P2214" s="26">
        <v>82.64</v>
      </c>
      <c r="Q2214" s="26"/>
      <c r="R2214" s="26">
        <v>85.32</v>
      </c>
      <c r="S2214" s="26">
        <v>88.17</v>
      </c>
      <c r="T2214" s="26">
        <v>84.36</v>
      </c>
    </row>
    <row r="2215" spans="1:20" x14ac:dyDescent="0.35">
      <c r="A2215" s="7">
        <v>45679</v>
      </c>
      <c r="M2215" s="26">
        <v>77.290000000000006</v>
      </c>
      <c r="N2215" s="26">
        <v>78.94</v>
      </c>
      <c r="O2215" s="26"/>
      <c r="P2215" s="26">
        <v>81.28</v>
      </c>
      <c r="Q2215" s="26"/>
      <c r="R2215" s="26">
        <v>83.93</v>
      </c>
      <c r="S2215" s="26">
        <v>86.77</v>
      </c>
      <c r="T2215" s="26">
        <v>82.98</v>
      </c>
    </row>
    <row r="2216" spans="1:20" x14ac:dyDescent="0.35">
      <c r="A2216" s="7">
        <v>45680</v>
      </c>
      <c r="M2216" s="26">
        <v>79.06</v>
      </c>
      <c r="N2216" s="26">
        <v>80.760000000000005</v>
      </c>
      <c r="O2216" s="26"/>
      <c r="P2216" s="26">
        <v>83.17</v>
      </c>
      <c r="Q2216" s="26"/>
      <c r="R2216" s="26">
        <v>85.87</v>
      </c>
      <c r="S2216" s="26">
        <v>88.72</v>
      </c>
      <c r="T2216" s="26">
        <v>84.9</v>
      </c>
    </row>
    <row r="2217" spans="1:20" x14ac:dyDescent="0.35">
      <c r="A2217" s="7">
        <v>45681</v>
      </c>
      <c r="M2217" s="26">
        <v>79.95</v>
      </c>
      <c r="N2217" s="26">
        <v>81.67</v>
      </c>
      <c r="O2217" s="26"/>
      <c r="P2217" s="26">
        <v>84.11</v>
      </c>
      <c r="Q2217" s="26"/>
      <c r="R2217" s="26">
        <v>86.91</v>
      </c>
      <c r="S2217" s="26">
        <v>89.74</v>
      </c>
      <c r="T2217" s="26">
        <v>85.9</v>
      </c>
    </row>
    <row r="2218" spans="1:20" x14ac:dyDescent="0.35">
      <c r="A2218" s="7">
        <v>45682</v>
      </c>
      <c r="M2218" s="26">
        <v>79.95</v>
      </c>
      <c r="N2218" s="26">
        <v>81.67</v>
      </c>
      <c r="O2218" s="26"/>
      <c r="P2218" s="26">
        <v>84.11</v>
      </c>
      <c r="Q2218" s="26"/>
      <c r="R2218" s="26">
        <v>86.91</v>
      </c>
      <c r="S2218" s="26">
        <v>89.74</v>
      </c>
      <c r="T2218" s="26">
        <v>85.9</v>
      </c>
    </row>
    <row r="2219" spans="1:20" x14ac:dyDescent="0.35">
      <c r="A2219" s="7">
        <v>45683</v>
      </c>
      <c r="M2219" s="26">
        <v>79.95</v>
      </c>
      <c r="N2219" s="26">
        <v>81.67</v>
      </c>
      <c r="O2219" s="26"/>
      <c r="P2219" s="26">
        <v>84.11</v>
      </c>
      <c r="Q2219" s="26"/>
      <c r="R2219" s="26">
        <v>86.91</v>
      </c>
      <c r="S2219" s="26">
        <v>89.74</v>
      </c>
      <c r="T2219" s="26">
        <v>85.9</v>
      </c>
    </row>
    <row r="2220" spans="1:20" x14ac:dyDescent="0.35">
      <c r="A2220" s="7">
        <v>45684</v>
      </c>
      <c r="M2220" s="26">
        <v>77.650000000000006</v>
      </c>
      <c r="N2220" s="26">
        <v>79.36</v>
      </c>
      <c r="O2220" s="26"/>
      <c r="P2220" s="26">
        <v>81.760000000000005</v>
      </c>
      <c r="Q2220" s="26"/>
      <c r="R2220" s="26">
        <v>84.48</v>
      </c>
      <c r="S2220" s="26">
        <v>87.28</v>
      </c>
      <c r="T2220" s="26">
        <v>83.51</v>
      </c>
    </row>
    <row r="2221" spans="1:20" x14ac:dyDescent="0.35">
      <c r="A2221" s="7">
        <v>45685</v>
      </c>
      <c r="M2221" s="26">
        <v>78.55</v>
      </c>
      <c r="N2221" s="26">
        <v>80.260000000000005</v>
      </c>
      <c r="O2221" s="26"/>
      <c r="P2221" s="26">
        <v>82.66</v>
      </c>
      <c r="Q2221" s="26"/>
      <c r="R2221" s="26">
        <v>85.38</v>
      </c>
      <c r="S2221" s="26">
        <v>88.21</v>
      </c>
      <c r="T2221" s="26">
        <v>84.41</v>
      </c>
    </row>
    <row r="2222" spans="1:20" x14ac:dyDescent="0.35">
      <c r="A2222" s="7">
        <v>45686</v>
      </c>
      <c r="M2222" s="26">
        <v>81.180000000000007</v>
      </c>
      <c r="N2222" s="26">
        <v>82.95</v>
      </c>
      <c r="O2222" s="26"/>
      <c r="P2222" s="26">
        <v>85.41</v>
      </c>
      <c r="Q2222" s="26"/>
      <c r="R2222" s="26">
        <v>88.19</v>
      </c>
      <c r="S2222" s="26">
        <v>91.09</v>
      </c>
      <c r="T2222" s="26">
        <v>87.21</v>
      </c>
    </row>
    <row r="2223" spans="1:20" x14ac:dyDescent="0.35">
      <c r="A2223" s="7">
        <v>45687</v>
      </c>
      <c r="M2223" s="26">
        <v>80.91</v>
      </c>
      <c r="N2223" s="26">
        <v>82.66</v>
      </c>
      <c r="O2223" s="26"/>
      <c r="P2223" s="26">
        <v>85.1</v>
      </c>
      <c r="Q2223" s="26"/>
      <c r="R2223" s="26">
        <v>87.83</v>
      </c>
      <c r="S2223" s="26">
        <v>90.7</v>
      </c>
      <c r="T2223" s="26">
        <v>86.86</v>
      </c>
    </row>
    <row r="2224" spans="1:20" x14ac:dyDescent="0.35">
      <c r="A2224" s="7">
        <v>45688</v>
      </c>
      <c r="M2224" s="26">
        <v>82.19</v>
      </c>
      <c r="N2224" s="26">
        <v>83.93</v>
      </c>
      <c r="O2224" s="26"/>
      <c r="P2224" s="26">
        <v>86.35</v>
      </c>
      <c r="Q2224" s="26"/>
      <c r="R2224" s="26">
        <v>89.07</v>
      </c>
      <c r="S2224" s="26">
        <v>91.94</v>
      </c>
      <c r="T2224" s="26">
        <v>88.11</v>
      </c>
    </row>
    <row r="2225" spans="1:20" x14ac:dyDescent="0.35">
      <c r="A2225" s="7">
        <v>45689</v>
      </c>
      <c r="M2225" s="26">
        <v>82.19</v>
      </c>
      <c r="N2225" s="26">
        <v>83.93</v>
      </c>
      <c r="O2225" s="26"/>
      <c r="P2225" s="26">
        <v>86.35</v>
      </c>
      <c r="Q2225" s="26"/>
      <c r="R2225" s="26">
        <v>89.07</v>
      </c>
      <c r="S2225" s="26">
        <v>91.94</v>
      </c>
      <c r="T2225" s="26">
        <v>88.11</v>
      </c>
    </row>
    <row r="2226" spans="1:20" x14ac:dyDescent="0.35">
      <c r="A2226" s="7">
        <v>45690</v>
      </c>
      <c r="M2226" s="26">
        <v>82.19</v>
      </c>
      <c r="N2226" s="26">
        <v>83.93</v>
      </c>
      <c r="O2226" s="26"/>
      <c r="P2226" s="26">
        <v>86.35</v>
      </c>
      <c r="Q2226" s="26"/>
      <c r="R2226" s="26">
        <v>89.07</v>
      </c>
      <c r="S2226" s="26">
        <v>91.94</v>
      </c>
      <c r="T2226" s="26">
        <v>88.11</v>
      </c>
    </row>
    <row r="2227" spans="1:20" x14ac:dyDescent="0.35">
      <c r="A2227" s="7">
        <v>45691</v>
      </c>
      <c r="M2227" s="26">
        <v>79.3</v>
      </c>
      <c r="N2227" s="26">
        <v>80.959999999999994</v>
      </c>
      <c r="O2227" s="26"/>
      <c r="P2227" s="26">
        <v>83.23</v>
      </c>
      <c r="Q2227" s="26"/>
      <c r="R2227" s="26">
        <v>85.87</v>
      </c>
      <c r="S2227" s="26">
        <v>88.61</v>
      </c>
      <c r="T2227" s="26">
        <v>84.95</v>
      </c>
    </row>
    <row r="2228" spans="1:20" x14ac:dyDescent="0.35">
      <c r="A2228" s="7">
        <v>45692</v>
      </c>
      <c r="M2228" s="26">
        <v>79.23</v>
      </c>
      <c r="N2228" s="26">
        <v>80.88</v>
      </c>
      <c r="O2228" s="26"/>
      <c r="P2228" s="26">
        <v>83.14</v>
      </c>
      <c r="Q2228" s="26"/>
      <c r="R2228" s="26">
        <v>85.68</v>
      </c>
      <c r="S2228" s="26">
        <v>88.42</v>
      </c>
      <c r="T2228" s="26">
        <v>84.8</v>
      </c>
    </row>
    <row r="2229" spans="1:20" x14ac:dyDescent="0.35">
      <c r="A2229" s="7">
        <v>45693</v>
      </c>
      <c r="M2229" s="26">
        <v>79.489999999999995</v>
      </c>
      <c r="N2229" s="26">
        <v>81.12</v>
      </c>
      <c r="O2229" s="26"/>
      <c r="P2229" s="26">
        <v>83.35</v>
      </c>
      <c r="Q2229" s="26"/>
      <c r="R2229" s="26">
        <v>85.86</v>
      </c>
      <c r="S2229" s="26">
        <v>88.6</v>
      </c>
      <c r="T2229" s="26">
        <v>84.98</v>
      </c>
    </row>
    <row r="2230" spans="1:20" x14ac:dyDescent="0.35">
      <c r="A2230" s="7">
        <v>45694</v>
      </c>
      <c r="M2230" s="26">
        <v>80.3</v>
      </c>
      <c r="N2230" s="26">
        <v>81.93</v>
      </c>
      <c r="O2230" s="26"/>
      <c r="P2230" s="26">
        <v>84.18</v>
      </c>
      <c r="Q2230" s="26"/>
      <c r="R2230" s="26">
        <v>86.68</v>
      </c>
      <c r="S2230" s="26">
        <v>89.4</v>
      </c>
      <c r="T2230" s="26">
        <v>85.79</v>
      </c>
    </row>
    <row r="2231" spans="1:20" x14ac:dyDescent="0.35">
      <c r="A2231" s="7">
        <v>45695</v>
      </c>
      <c r="M2231" s="26">
        <v>80.650000000000006</v>
      </c>
      <c r="N2231" s="26">
        <v>82.28</v>
      </c>
      <c r="O2231" s="26"/>
      <c r="P2231" s="26">
        <v>84.54</v>
      </c>
      <c r="Q2231" s="26"/>
      <c r="R2231" s="26">
        <v>87.1</v>
      </c>
      <c r="S2231" s="26">
        <v>89.82</v>
      </c>
      <c r="T2231" s="26">
        <v>86.19</v>
      </c>
    </row>
    <row r="2232" spans="1:20" x14ac:dyDescent="0.35">
      <c r="A2232" s="7">
        <v>45696</v>
      </c>
      <c r="M2232" s="26">
        <v>80.650000000000006</v>
      </c>
      <c r="N2232" s="26">
        <v>82.28</v>
      </c>
      <c r="O2232" s="26"/>
      <c r="P2232" s="26">
        <v>84.54</v>
      </c>
      <c r="Q2232" s="26"/>
      <c r="R2232" s="26">
        <v>87.1</v>
      </c>
      <c r="S2232" s="26">
        <v>89.82</v>
      </c>
      <c r="T2232" s="26">
        <v>86.19</v>
      </c>
    </row>
    <row r="2233" spans="1:20" x14ac:dyDescent="0.35">
      <c r="A2233" s="7">
        <v>45697</v>
      </c>
      <c r="M2233" s="26">
        <v>80.650000000000006</v>
      </c>
      <c r="N2233" s="26">
        <v>82.28</v>
      </c>
      <c r="O2233" s="26"/>
      <c r="P2233" s="26">
        <v>84.54</v>
      </c>
      <c r="Q2233" s="26"/>
      <c r="R2233" s="26">
        <v>87.1</v>
      </c>
      <c r="S2233" s="26">
        <v>89.82</v>
      </c>
      <c r="T2233" s="26">
        <v>86.19</v>
      </c>
    </row>
    <row r="2234" spans="1:20" x14ac:dyDescent="0.35">
      <c r="A2234" s="7">
        <v>45698</v>
      </c>
      <c r="M2234" s="26">
        <v>81.290000000000006</v>
      </c>
      <c r="N2234" s="26">
        <v>82.94</v>
      </c>
      <c r="O2234" s="26"/>
      <c r="P2234" s="26">
        <v>85.19</v>
      </c>
      <c r="Q2234" s="26"/>
      <c r="R2234" s="26">
        <v>87.74</v>
      </c>
      <c r="S2234" s="26">
        <v>90.4</v>
      </c>
      <c r="T2234" s="26">
        <v>86.84</v>
      </c>
    </row>
    <row r="2235" spans="1:20" x14ac:dyDescent="0.35">
      <c r="A2235" s="7">
        <v>45699</v>
      </c>
      <c r="M2235" s="26">
        <v>80.92</v>
      </c>
      <c r="N2235" s="26">
        <v>82.59</v>
      </c>
      <c r="O2235" s="26"/>
      <c r="P2235" s="26">
        <v>84.87</v>
      </c>
      <c r="Q2235" s="26"/>
      <c r="R2235" s="26">
        <v>87.45</v>
      </c>
      <c r="S2235" s="26">
        <v>90.11</v>
      </c>
      <c r="T2235" s="26">
        <v>86.54</v>
      </c>
    </row>
    <row r="2236" spans="1:20" x14ac:dyDescent="0.35">
      <c r="A2236" s="7">
        <v>45700</v>
      </c>
      <c r="M2236" s="26">
        <v>78.64</v>
      </c>
      <c r="N2236" s="26">
        <v>80.290000000000006</v>
      </c>
      <c r="O2236" s="26"/>
      <c r="P2236" s="26">
        <v>82.58</v>
      </c>
      <c r="Q2236" s="26"/>
      <c r="R2236" s="26">
        <v>85.11</v>
      </c>
      <c r="S2236" s="26">
        <v>87.77</v>
      </c>
      <c r="T2236" s="26">
        <v>84.24</v>
      </c>
    </row>
    <row r="2237" spans="1:20" x14ac:dyDescent="0.35">
      <c r="A2237" s="7">
        <v>45701</v>
      </c>
      <c r="M2237" s="26">
        <v>76.44</v>
      </c>
      <c r="N2237" s="26">
        <v>78.05</v>
      </c>
      <c r="O2237" s="26"/>
      <c r="P2237" s="26">
        <v>80.260000000000005</v>
      </c>
      <c r="Q2237" s="26"/>
      <c r="R2237" s="26">
        <v>82.74</v>
      </c>
      <c r="S2237" s="26">
        <v>85.24</v>
      </c>
      <c r="T2237" s="26">
        <v>81.900000000000006</v>
      </c>
    </row>
    <row r="2238" spans="1:20" x14ac:dyDescent="0.35">
      <c r="A2238" s="7">
        <v>45702</v>
      </c>
      <c r="M2238" s="26">
        <v>78.12</v>
      </c>
      <c r="N2238" s="26">
        <v>79.75</v>
      </c>
      <c r="O2238" s="26"/>
      <c r="P2238" s="26">
        <v>82</v>
      </c>
      <c r="Q2238" s="26"/>
      <c r="R2238" s="26">
        <v>84.55</v>
      </c>
      <c r="S2238" s="26">
        <v>87.07</v>
      </c>
      <c r="T2238" s="26">
        <v>83.66</v>
      </c>
    </row>
    <row r="2239" spans="1:20" x14ac:dyDescent="0.35">
      <c r="A2239" s="7">
        <v>45703</v>
      </c>
      <c r="M2239" s="26">
        <v>78.12</v>
      </c>
      <c r="N2239" s="26">
        <v>79.75</v>
      </c>
      <c r="O2239" s="26"/>
      <c r="P2239" s="26">
        <v>82</v>
      </c>
      <c r="Q2239" s="26"/>
      <c r="R2239" s="26">
        <v>84.55</v>
      </c>
      <c r="S2239" s="26">
        <v>87.07</v>
      </c>
      <c r="T2239" s="26">
        <v>83.66</v>
      </c>
    </row>
    <row r="2240" spans="1:20" x14ac:dyDescent="0.35">
      <c r="A2240" s="7">
        <v>45704</v>
      </c>
      <c r="M2240" s="26">
        <v>78.12</v>
      </c>
      <c r="N2240" s="26">
        <v>79.75</v>
      </c>
      <c r="O2240" s="26"/>
      <c r="P2240" s="26">
        <v>82</v>
      </c>
      <c r="Q2240" s="26"/>
      <c r="R2240" s="26">
        <v>84.55</v>
      </c>
      <c r="S2240" s="26">
        <v>87.07</v>
      </c>
      <c r="T2240" s="26">
        <v>83.66</v>
      </c>
    </row>
    <row r="2241" spans="1:20" x14ac:dyDescent="0.35">
      <c r="A2241" s="7">
        <v>45705</v>
      </c>
      <c r="M2241" s="26">
        <v>75.61</v>
      </c>
      <c r="N2241" s="26">
        <v>77.209999999999994</v>
      </c>
      <c r="O2241" s="26"/>
      <c r="P2241" s="26">
        <v>79.430000000000007</v>
      </c>
      <c r="Q2241" s="26"/>
      <c r="R2241" s="26">
        <v>81.99</v>
      </c>
      <c r="S2241" s="26">
        <v>84.4</v>
      </c>
      <c r="T2241" s="26">
        <v>81.099999999999994</v>
      </c>
    </row>
    <row r="2242" spans="1:20" x14ac:dyDescent="0.35">
      <c r="A2242" s="7">
        <v>45706</v>
      </c>
      <c r="M2242" s="26">
        <v>74.16</v>
      </c>
      <c r="N2242" s="26">
        <v>75.739999999999995</v>
      </c>
      <c r="O2242" s="26"/>
      <c r="P2242" s="26">
        <v>77.930000000000007</v>
      </c>
      <c r="Q2242" s="26"/>
      <c r="R2242" s="26">
        <v>80.430000000000007</v>
      </c>
      <c r="S2242" s="26">
        <v>82.84</v>
      </c>
      <c r="T2242" s="26">
        <v>79.56</v>
      </c>
    </row>
    <row r="2243" spans="1:20" x14ac:dyDescent="0.35">
      <c r="A2243" s="7">
        <v>45707</v>
      </c>
      <c r="M2243" s="26">
        <v>72.47</v>
      </c>
      <c r="N2243" s="26">
        <v>74.02</v>
      </c>
      <c r="O2243" s="26"/>
      <c r="P2243" s="26">
        <v>76.19</v>
      </c>
      <c r="Q2243" s="26"/>
      <c r="R2243" s="26">
        <v>78.680000000000007</v>
      </c>
      <c r="S2243" s="26">
        <v>81.11</v>
      </c>
      <c r="T2243" s="26">
        <v>77.819999999999993</v>
      </c>
    </row>
    <row r="2244" spans="1:20" x14ac:dyDescent="0.35">
      <c r="A2244" s="7">
        <v>45708</v>
      </c>
      <c r="M2244" s="26">
        <v>71.13</v>
      </c>
      <c r="N2244" s="26">
        <v>72.67</v>
      </c>
      <c r="O2244" s="26"/>
      <c r="P2244" s="26">
        <v>74.78</v>
      </c>
      <c r="Q2244" s="26"/>
      <c r="R2244" s="26">
        <v>77.260000000000005</v>
      </c>
      <c r="S2244" s="26">
        <v>79.69</v>
      </c>
      <c r="T2244" s="26">
        <v>76.41</v>
      </c>
    </row>
    <row r="2245" spans="1:20" x14ac:dyDescent="0.35">
      <c r="A2245" s="7">
        <v>45709</v>
      </c>
      <c r="M2245" s="26">
        <v>72.37</v>
      </c>
      <c r="N2245" s="26">
        <v>73.900000000000006</v>
      </c>
      <c r="O2245" s="26"/>
      <c r="P2245" s="26">
        <v>76.05</v>
      </c>
      <c r="Q2245" s="26"/>
      <c r="R2245" s="26">
        <v>78.52</v>
      </c>
      <c r="S2245" s="26">
        <v>81.010000000000005</v>
      </c>
      <c r="T2245" s="26">
        <v>77.8</v>
      </c>
    </row>
    <row r="2246" spans="1:20" x14ac:dyDescent="0.35">
      <c r="A2246" s="7">
        <v>45710</v>
      </c>
      <c r="M2246" s="26">
        <v>72.37</v>
      </c>
      <c r="N2246" s="26">
        <v>73.900000000000006</v>
      </c>
      <c r="O2246" s="26"/>
      <c r="P2246" s="26">
        <v>76.05</v>
      </c>
      <c r="Q2246" s="26"/>
      <c r="R2246" s="26">
        <v>78.52</v>
      </c>
      <c r="S2246" s="26">
        <v>81.010000000000005</v>
      </c>
      <c r="T2246" s="26">
        <v>77.8</v>
      </c>
    </row>
    <row r="2247" spans="1:20" x14ac:dyDescent="0.35">
      <c r="A2247" s="7">
        <v>45711</v>
      </c>
      <c r="M2247" s="26">
        <v>72.37</v>
      </c>
      <c r="N2247" s="26">
        <v>73.900000000000006</v>
      </c>
      <c r="O2247" s="26"/>
      <c r="P2247" s="26">
        <v>76.05</v>
      </c>
      <c r="Q2247" s="26"/>
      <c r="R2247" s="26">
        <v>78.52</v>
      </c>
      <c r="S2247" s="26">
        <v>81.010000000000005</v>
      </c>
      <c r="T2247" s="26">
        <v>77.8</v>
      </c>
    </row>
    <row r="2248" spans="1:20" x14ac:dyDescent="0.35">
      <c r="A2248" s="7">
        <v>45712</v>
      </c>
      <c r="M2248" s="26">
        <v>72.14</v>
      </c>
      <c r="N2248" s="26">
        <v>73.66</v>
      </c>
      <c r="O2248" s="26"/>
      <c r="P2248" s="26">
        <v>75.77</v>
      </c>
      <c r="Q2248" s="26"/>
      <c r="R2248" s="26">
        <v>78.2</v>
      </c>
      <c r="S2248" s="26">
        <v>80.7</v>
      </c>
      <c r="T2248" s="26">
        <v>77.36</v>
      </c>
    </row>
    <row r="2249" spans="1:20" x14ac:dyDescent="0.35">
      <c r="A2249" s="7">
        <v>45713</v>
      </c>
      <c r="M2249" s="26">
        <v>70.260000000000005</v>
      </c>
      <c r="N2249" s="26">
        <v>71.75</v>
      </c>
      <c r="O2249" s="26"/>
      <c r="P2249" s="26">
        <v>73.760000000000005</v>
      </c>
      <c r="Q2249" s="26"/>
      <c r="R2249" s="26">
        <v>76.05</v>
      </c>
      <c r="S2249" s="26">
        <v>78.489999999999995</v>
      </c>
      <c r="T2249" s="26">
        <v>75.25</v>
      </c>
    </row>
    <row r="2250" spans="1:20" x14ac:dyDescent="0.35">
      <c r="A2250" s="7">
        <v>45714</v>
      </c>
      <c r="M2250" s="26">
        <v>69.56</v>
      </c>
      <c r="N2250" s="26">
        <v>71.02</v>
      </c>
      <c r="O2250" s="26"/>
      <c r="P2250" s="26">
        <v>73.03</v>
      </c>
      <c r="Q2250" s="26"/>
      <c r="R2250" s="26">
        <v>75.33</v>
      </c>
      <c r="S2250" s="26">
        <v>77.739999999999995</v>
      </c>
      <c r="T2250" s="26">
        <v>74.52</v>
      </c>
    </row>
    <row r="2251" spans="1:20" x14ac:dyDescent="0.35">
      <c r="A2251" s="7">
        <v>45715</v>
      </c>
      <c r="M2251" s="26">
        <v>71.319999999999993</v>
      </c>
      <c r="N2251" s="26">
        <v>72.78</v>
      </c>
      <c r="O2251" s="26"/>
      <c r="P2251" s="26">
        <v>74.790000000000006</v>
      </c>
      <c r="Q2251" s="26"/>
      <c r="R2251" s="26">
        <v>77.09</v>
      </c>
      <c r="S2251" s="26">
        <v>79.5</v>
      </c>
      <c r="T2251" s="26">
        <v>76.28</v>
      </c>
    </row>
    <row r="2252" spans="1:20" x14ac:dyDescent="0.35">
      <c r="A2252" s="7">
        <v>45716</v>
      </c>
      <c r="M2252" s="26">
        <v>69.56</v>
      </c>
      <c r="N2252" s="26">
        <v>71</v>
      </c>
      <c r="O2252" s="26"/>
      <c r="P2252" s="26">
        <v>72.98</v>
      </c>
      <c r="Q2252" s="26"/>
      <c r="R2252" s="26">
        <v>75.22</v>
      </c>
      <c r="S2252" s="26">
        <v>77.62</v>
      </c>
      <c r="T2252" s="26">
        <v>74.42</v>
      </c>
    </row>
    <row r="2253" spans="1:20" x14ac:dyDescent="0.35">
      <c r="A2253" s="7">
        <v>45717</v>
      </c>
      <c r="M2253" s="26">
        <v>69.56</v>
      </c>
      <c r="N2253" s="26">
        <v>71</v>
      </c>
      <c r="O2253" s="26"/>
      <c r="P2253" s="26">
        <v>72.98</v>
      </c>
      <c r="Q2253" s="26"/>
      <c r="R2253" s="26">
        <v>75.22</v>
      </c>
      <c r="S2253" s="26">
        <v>77.62</v>
      </c>
      <c r="T2253" s="26">
        <v>74.42</v>
      </c>
    </row>
    <row r="2254" spans="1:20" x14ac:dyDescent="0.35">
      <c r="A2254" s="7">
        <v>45718</v>
      </c>
      <c r="M2254" s="26">
        <v>69.56</v>
      </c>
      <c r="N2254" s="26">
        <v>71</v>
      </c>
      <c r="O2254" s="26"/>
      <c r="P2254" s="26">
        <v>72.98</v>
      </c>
      <c r="Q2254" s="26"/>
      <c r="R2254" s="26">
        <v>75.22</v>
      </c>
      <c r="S2254" s="26">
        <v>77.62</v>
      </c>
      <c r="T2254" s="26">
        <v>74.42</v>
      </c>
    </row>
    <row r="2255" spans="1:20" x14ac:dyDescent="0.35">
      <c r="A2255" s="7">
        <v>45719</v>
      </c>
      <c r="M2255" s="26">
        <v>70.12</v>
      </c>
      <c r="N2255" s="26">
        <v>71.55</v>
      </c>
      <c r="O2255" s="26"/>
      <c r="P2255" s="26">
        <v>73.56</v>
      </c>
      <c r="Q2255" s="26"/>
      <c r="R2255" s="26">
        <v>75.81</v>
      </c>
      <c r="S2255" s="26">
        <v>78.17</v>
      </c>
      <c r="T2255" s="26">
        <v>75.010000000000005</v>
      </c>
    </row>
    <row r="2256" spans="1:20" x14ac:dyDescent="0.35">
      <c r="A2256" s="7">
        <v>45720</v>
      </c>
      <c r="M2256" s="26">
        <v>67.13</v>
      </c>
      <c r="N2256" s="26">
        <v>68.5</v>
      </c>
      <c r="O2256" s="26"/>
      <c r="P2256" s="26">
        <v>70.41</v>
      </c>
      <c r="Q2256" s="26"/>
      <c r="R2256" s="26">
        <v>72.55</v>
      </c>
      <c r="S2256" s="26">
        <v>74.91</v>
      </c>
      <c r="T2256" s="26">
        <v>71.819999999999993</v>
      </c>
    </row>
    <row r="2257" spans="1:20" x14ac:dyDescent="0.35">
      <c r="A2257" s="7">
        <v>45721</v>
      </c>
      <c r="M2257" s="26">
        <v>67.400000000000006</v>
      </c>
      <c r="N2257" s="26">
        <v>68.790000000000006</v>
      </c>
      <c r="O2257" s="26"/>
      <c r="P2257" s="26">
        <v>70.819999999999993</v>
      </c>
      <c r="Q2257" s="26"/>
      <c r="R2257" s="26">
        <v>73.23</v>
      </c>
      <c r="S2257" s="26">
        <v>75.66</v>
      </c>
      <c r="T2257" s="26">
        <v>72.38</v>
      </c>
    </row>
    <row r="2258" spans="1:20" x14ac:dyDescent="0.35">
      <c r="A2258" s="7">
        <v>45722</v>
      </c>
      <c r="M2258" s="26">
        <v>65.930000000000007</v>
      </c>
      <c r="N2258" s="26">
        <v>67.319999999999993</v>
      </c>
      <c r="O2258" s="26"/>
      <c r="P2258" s="26">
        <v>69.37</v>
      </c>
      <c r="Q2258" s="26"/>
      <c r="R2258" s="26">
        <v>71.73</v>
      </c>
      <c r="S2258" s="26">
        <v>74.28</v>
      </c>
      <c r="T2258" s="26">
        <v>70.98</v>
      </c>
    </row>
    <row r="2259" spans="1:20" x14ac:dyDescent="0.35">
      <c r="A2259" s="7">
        <v>45723</v>
      </c>
      <c r="M2259" s="26">
        <v>67.209999999999994</v>
      </c>
      <c r="N2259" s="26">
        <v>68.63</v>
      </c>
      <c r="O2259" s="26"/>
      <c r="P2259" s="26">
        <v>70.7</v>
      </c>
      <c r="Q2259" s="26"/>
      <c r="R2259" s="26">
        <v>73.069999999999993</v>
      </c>
      <c r="S2259" s="26">
        <v>75.540000000000006</v>
      </c>
      <c r="T2259" s="26">
        <v>72.319999999999993</v>
      </c>
    </row>
    <row r="2260" spans="1:20" x14ac:dyDescent="0.35">
      <c r="A2260" s="7">
        <v>45724</v>
      </c>
      <c r="M2260" s="26">
        <v>67.209999999999994</v>
      </c>
      <c r="N2260" s="26">
        <v>68.63</v>
      </c>
      <c r="O2260" s="26"/>
      <c r="P2260" s="26">
        <v>70.7</v>
      </c>
      <c r="Q2260" s="26"/>
      <c r="R2260" s="26">
        <v>73.069999999999993</v>
      </c>
      <c r="S2260" s="26">
        <v>75.540000000000006</v>
      </c>
      <c r="T2260" s="26">
        <v>72.319999999999993</v>
      </c>
    </row>
    <row r="2261" spans="1:20" x14ac:dyDescent="0.35">
      <c r="A2261" s="7">
        <v>45725</v>
      </c>
      <c r="M2261" s="26">
        <v>67.209999999999994</v>
      </c>
      <c r="N2261" s="26">
        <v>68.63</v>
      </c>
      <c r="O2261" s="26"/>
      <c r="P2261" s="26">
        <v>70.7</v>
      </c>
      <c r="Q2261" s="26"/>
      <c r="R2261" s="26">
        <v>73.069999999999993</v>
      </c>
      <c r="S2261" s="26">
        <v>75.540000000000006</v>
      </c>
      <c r="T2261" s="26">
        <v>72.319999999999993</v>
      </c>
    </row>
    <row r="2262" spans="1:20" x14ac:dyDescent="0.35">
      <c r="A2262" s="7">
        <v>45726</v>
      </c>
      <c r="M2262" s="26">
        <v>67.569999999999993</v>
      </c>
      <c r="N2262" s="26">
        <v>69.010000000000005</v>
      </c>
      <c r="O2262" s="26"/>
      <c r="P2262" s="26">
        <v>71.05</v>
      </c>
      <c r="Q2262" s="26"/>
      <c r="R2262" s="26">
        <v>73.400000000000006</v>
      </c>
      <c r="S2262" s="26">
        <v>75.87</v>
      </c>
      <c r="T2262" s="26">
        <v>72.67</v>
      </c>
    </row>
    <row r="2263" spans="1:20" x14ac:dyDescent="0.35">
      <c r="A2263" s="7">
        <v>45727</v>
      </c>
      <c r="M2263" s="26">
        <v>66.849999999999994</v>
      </c>
      <c r="N2263" s="26">
        <v>68.239999999999995</v>
      </c>
      <c r="O2263" s="26"/>
      <c r="P2263" s="26">
        <v>70.3</v>
      </c>
      <c r="Q2263" s="26"/>
      <c r="R2263" s="26">
        <v>72.72</v>
      </c>
      <c r="S2263" s="26">
        <v>75.39</v>
      </c>
      <c r="T2263" s="26">
        <v>71.97</v>
      </c>
    </row>
    <row r="2264" spans="1:20" x14ac:dyDescent="0.35">
      <c r="A2264" s="7">
        <v>45728</v>
      </c>
      <c r="M2264" s="26">
        <v>68.209999999999994</v>
      </c>
      <c r="N2264" s="26">
        <v>69.62</v>
      </c>
      <c r="O2264" s="26"/>
      <c r="P2264" s="26">
        <v>71.709999999999994</v>
      </c>
      <c r="Q2264" s="26"/>
      <c r="R2264" s="26">
        <v>74.22</v>
      </c>
      <c r="S2264" s="26">
        <v>76.89</v>
      </c>
      <c r="T2264" s="26">
        <v>73.44</v>
      </c>
    </row>
    <row r="2265" spans="1:20" x14ac:dyDescent="0.35">
      <c r="A2265" s="7">
        <v>45729</v>
      </c>
      <c r="M2265" s="26">
        <v>69.17</v>
      </c>
      <c r="N2265" s="26">
        <v>70.599999999999994</v>
      </c>
      <c r="O2265" s="26"/>
      <c r="P2265" s="26">
        <v>72.709999999999994</v>
      </c>
      <c r="Q2265" s="26"/>
      <c r="R2265" s="26">
        <v>75.19</v>
      </c>
      <c r="S2265" s="26">
        <v>77.86</v>
      </c>
      <c r="T2265" s="26">
        <v>74.430000000000007</v>
      </c>
    </row>
    <row r="2266" spans="1:20" x14ac:dyDescent="0.35">
      <c r="A2266" s="7">
        <v>45730</v>
      </c>
      <c r="M2266" s="26">
        <v>69.56</v>
      </c>
      <c r="N2266" s="26">
        <v>70.989999999999995</v>
      </c>
      <c r="O2266" s="26"/>
      <c r="P2266" s="26">
        <v>73.12</v>
      </c>
      <c r="Q2266" s="26"/>
      <c r="R2266" s="26">
        <v>75.58</v>
      </c>
      <c r="S2266" s="26">
        <v>78.25</v>
      </c>
      <c r="T2266" s="26">
        <v>74.819999999999993</v>
      </c>
    </row>
    <row r="2267" spans="1:20" x14ac:dyDescent="0.35">
      <c r="A2267" s="7">
        <v>45731</v>
      </c>
      <c r="M2267" s="26">
        <v>69.56</v>
      </c>
      <c r="N2267" s="26">
        <v>70.989999999999995</v>
      </c>
      <c r="O2267" s="26"/>
      <c r="P2267" s="26">
        <v>73.12</v>
      </c>
      <c r="Q2267" s="26"/>
      <c r="R2267" s="26">
        <v>75.58</v>
      </c>
      <c r="S2267" s="26">
        <v>78.25</v>
      </c>
      <c r="T2267" s="26">
        <v>74.819999999999993</v>
      </c>
    </row>
    <row r="2268" spans="1:20" x14ac:dyDescent="0.35">
      <c r="A2268" s="7">
        <v>45732</v>
      </c>
      <c r="M2268" s="26">
        <v>69.56</v>
      </c>
      <c r="N2268" s="26">
        <v>70.989999999999995</v>
      </c>
      <c r="O2268" s="26"/>
      <c r="P2268" s="26">
        <v>73.12</v>
      </c>
      <c r="Q2268" s="26"/>
      <c r="R2268" s="26">
        <v>75.58</v>
      </c>
      <c r="S2268" s="26">
        <v>78.25</v>
      </c>
      <c r="T2268" s="26">
        <v>74.819999999999993</v>
      </c>
    </row>
    <row r="2269" spans="1:20" x14ac:dyDescent="0.35">
      <c r="A2269" s="7">
        <v>45733</v>
      </c>
      <c r="M2269" s="26">
        <v>68.69</v>
      </c>
      <c r="N2269" s="26">
        <v>70.11</v>
      </c>
      <c r="O2269" s="26"/>
      <c r="P2269" s="26">
        <v>72.209999999999994</v>
      </c>
      <c r="Q2269" s="26"/>
      <c r="R2269" s="26">
        <v>74.61</v>
      </c>
      <c r="S2269" s="26">
        <v>77.239999999999995</v>
      </c>
      <c r="T2269" s="26">
        <v>73.87</v>
      </c>
    </row>
    <row r="2270" spans="1:20" x14ac:dyDescent="0.35">
      <c r="A2270" s="7">
        <v>45734</v>
      </c>
      <c r="M2270" s="26">
        <v>69.88</v>
      </c>
      <c r="N2270" s="26">
        <v>71.3</v>
      </c>
      <c r="O2270" s="26"/>
      <c r="P2270" s="26">
        <v>73.41</v>
      </c>
      <c r="Q2270" s="26"/>
      <c r="R2270" s="26">
        <v>75.819999999999993</v>
      </c>
      <c r="S2270" s="26">
        <v>78.540000000000006</v>
      </c>
      <c r="T2270" s="26">
        <v>75.08</v>
      </c>
    </row>
    <row r="2271" spans="1:20" x14ac:dyDescent="0.35">
      <c r="A2271" s="7">
        <v>45735</v>
      </c>
      <c r="M2271" s="26">
        <v>71.959999999999994</v>
      </c>
      <c r="N2271" s="26">
        <v>73.44</v>
      </c>
      <c r="O2271" s="26"/>
      <c r="P2271" s="26">
        <v>75.63</v>
      </c>
      <c r="Q2271" s="26"/>
      <c r="R2271" s="26">
        <v>78.12</v>
      </c>
      <c r="S2271" s="26">
        <v>80.88</v>
      </c>
      <c r="T2271" s="26">
        <v>73.36</v>
      </c>
    </row>
    <row r="2272" spans="1:20" x14ac:dyDescent="0.35">
      <c r="A2272" s="7">
        <v>45736</v>
      </c>
      <c r="M2272" s="26">
        <v>71.540000000000006</v>
      </c>
      <c r="N2272" s="26">
        <v>73.010000000000005</v>
      </c>
      <c r="O2272" s="26"/>
      <c r="P2272" s="26">
        <v>75.17</v>
      </c>
      <c r="Q2272" s="26"/>
      <c r="R2272" s="26">
        <v>77.66</v>
      </c>
      <c r="S2272" s="26">
        <v>80.42</v>
      </c>
      <c r="T2272" s="26">
        <v>76.900000000000006</v>
      </c>
    </row>
    <row r="2273" spans="1:20" x14ac:dyDescent="0.35">
      <c r="A2273" s="7">
        <v>45737</v>
      </c>
      <c r="M2273" s="26">
        <v>70.010000000000005</v>
      </c>
      <c r="N2273" s="26">
        <v>71.45</v>
      </c>
      <c r="O2273" s="26"/>
      <c r="P2273" s="26">
        <v>73.540000000000006</v>
      </c>
      <c r="Q2273" s="26"/>
      <c r="R2273" s="26">
        <v>75.97</v>
      </c>
      <c r="S2273" s="26">
        <v>78.66</v>
      </c>
      <c r="T2273" s="26">
        <v>75.23</v>
      </c>
    </row>
    <row r="2274" spans="1:20" x14ac:dyDescent="0.35">
      <c r="A2274" s="7">
        <v>45738</v>
      </c>
      <c r="M2274" s="26">
        <v>70.010000000000005</v>
      </c>
      <c r="N2274" s="26">
        <v>71.45</v>
      </c>
      <c r="O2274" s="26"/>
      <c r="P2274" s="26">
        <v>73.540000000000006</v>
      </c>
      <c r="Q2274" s="26"/>
      <c r="R2274" s="26">
        <v>75.97</v>
      </c>
      <c r="S2274" s="26">
        <v>78.66</v>
      </c>
      <c r="T2274" s="26">
        <v>75.23</v>
      </c>
    </row>
    <row r="2275" spans="1:20" x14ac:dyDescent="0.35">
      <c r="A2275" s="7">
        <v>45739</v>
      </c>
      <c r="M2275" s="26">
        <v>70.010000000000005</v>
      </c>
      <c r="N2275" s="26">
        <v>71.45</v>
      </c>
      <c r="O2275" s="26"/>
      <c r="P2275" s="26">
        <v>73.540000000000006</v>
      </c>
      <c r="Q2275" s="26"/>
      <c r="R2275" s="26">
        <v>75.97</v>
      </c>
      <c r="S2275" s="26">
        <v>78.66</v>
      </c>
      <c r="T2275" s="26">
        <v>75.23</v>
      </c>
    </row>
    <row r="2276" spans="1:20" x14ac:dyDescent="0.35">
      <c r="A2276" s="7">
        <v>45740</v>
      </c>
      <c r="M2276" s="26">
        <v>70.08</v>
      </c>
      <c r="N2276" s="26">
        <v>71.52</v>
      </c>
      <c r="O2276" s="26"/>
      <c r="P2276" s="26">
        <v>73.599999999999994</v>
      </c>
      <c r="Q2276" s="26"/>
      <c r="R2276" s="26">
        <v>76.02</v>
      </c>
      <c r="S2276" s="26">
        <v>78.73</v>
      </c>
      <c r="T2276" s="26">
        <v>75.28</v>
      </c>
    </row>
    <row r="2277" spans="1:20" x14ac:dyDescent="0.35">
      <c r="A2277" s="7">
        <v>45741</v>
      </c>
      <c r="M2277" s="26">
        <v>69.02</v>
      </c>
      <c r="N2277" s="26">
        <v>70.459999999999994</v>
      </c>
      <c r="O2277" s="26"/>
      <c r="P2277" s="26">
        <v>72.540000000000006</v>
      </c>
      <c r="Q2277" s="26"/>
      <c r="R2277" s="26">
        <v>74.94</v>
      </c>
      <c r="S2277" s="26">
        <v>77.56</v>
      </c>
      <c r="T2277" s="26">
        <v>74.209999999999994</v>
      </c>
    </row>
    <row r="2278" spans="1:20" x14ac:dyDescent="0.35">
      <c r="A2278" s="7">
        <v>45742</v>
      </c>
      <c r="M2278" s="26">
        <v>69.400000000000006</v>
      </c>
      <c r="N2278" s="26">
        <v>70.83</v>
      </c>
      <c r="O2278" s="26"/>
      <c r="P2278" s="26">
        <v>72.92</v>
      </c>
      <c r="Q2278" s="26"/>
      <c r="R2278" s="26">
        <v>75.349999999999994</v>
      </c>
      <c r="S2278" s="26">
        <v>77.97</v>
      </c>
      <c r="T2278" s="26">
        <v>74.61</v>
      </c>
    </row>
    <row r="2279" spans="1:20" x14ac:dyDescent="0.35">
      <c r="A2279" s="7">
        <v>45743</v>
      </c>
      <c r="M2279" s="26">
        <v>67.180000000000007</v>
      </c>
      <c r="N2279" s="26">
        <v>68.540000000000006</v>
      </c>
      <c r="O2279" s="26"/>
      <c r="P2279" s="26">
        <v>70.52</v>
      </c>
      <c r="Q2279" s="26"/>
      <c r="R2279" s="26">
        <v>72.87</v>
      </c>
      <c r="S2279" s="26">
        <v>75.48</v>
      </c>
      <c r="T2279" s="26">
        <v>72.16</v>
      </c>
    </row>
    <row r="2280" spans="1:20" x14ac:dyDescent="0.35">
      <c r="A2280" s="7">
        <v>45744</v>
      </c>
      <c r="M2280" s="26">
        <v>67.45</v>
      </c>
      <c r="N2280" s="26">
        <v>68.8</v>
      </c>
      <c r="O2280" s="26"/>
      <c r="P2280" s="26">
        <v>70.790000000000006</v>
      </c>
      <c r="Q2280" s="26"/>
      <c r="R2280" s="26">
        <v>73.11</v>
      </c>
      <c r="S2280" s="26">
        <v>75.67</v>
      </c>
      <c r="T2280" s="26">
        <v>72.459999999999994</v>
      </c>
    </row>
    <row r="2281" spans="1:20" x14ac:dyDescent="0.35">
      <c r="A2281" s="7">
        <v>45745</v>
      </c>
      <c r="M2281" s="26">
        <v>67.45</v>
      </c>
      <c r="N2281" s="26">
        <v>68.8</v>
      </c>
      <c r="O2281" s="26"/>
      <c r="P2281" s="26">
        <v>70.790000000000006</v>
      </c>
      <c r="Q2281" s="26"/>
      <c r="R2281" s="26">
        <v>73.11</v>
      </c>
      <c r="S2281" s="26">
        <v>75.67</v>
      </c>
      <c r="T2281" s="26">
        <v>72.459999999999994</v>
      </c>
    </row>
    <row r="2282" spans="1:20" x14ac:dyDescent="0.35">
      <c r="A2282" s="7">
        <v>45746</v>
      </c>
      <c r="M2282" s="26">
        <v>67.45</v>
      </c>
      <c r="N2282" s="26">
        <v>68.8</v>
      </c>
      <c r="O2282" s="26"/>
      <c r="P2282" s="26">
        <v>70.790000000000006</v>
      </c>
      <c r="Q2282" s="26"/>
      <c r="R2282" s="26">
        <v>73.11</v>
      </c>
      <c r="S2282" s="26">
        <v>75.67</v>
      </c>
      <c r="T2282" s="26">
        <v>72.459999999999994</v>
      </c>
    </row>
    <row r="2283" spans="1:20" x14ac:dyDescent="0.35">
      <c r="A2283" s="7">
        <v>45747</v>
      </c>
      <c r="N2283" s="26">
        <v>67.98</v>
      </c>
      <c r="O2283" s="26"/>
      <c r="P2283" s="26">
        <v>69.900000000000006</v>
      </c>
      <c r="Q2283" s="26"/>
      <c r="R2283" s="26">
        <v>72.099999999999994</v>
      </c>
      <c r="S2283" s="26">
        <v>74.58</v>
      </c>
      <c r="T2283" s="26">
        <v>71.42</v>
      </c>
    </row>
    <row r="2284" spans="1:20" x14ac:dyDescent="0.35">
      <c r="A2284" s="7">
        <v>45748</v>
      </c>
      <c r="N2284" s="26">
        <v>69.86</v>
      </c>
      <c r="O2284" s="26"/>
      <c r="P2284" s="26">
        <v>71.849999999999994</v>
      </c>
      <c r="Q2284" s="26"/>
      <c r="R2284" s="26">
        <v>74.11</v>
      </c>
      <c r="S2284" s="26">
        <v>76.650000000000006</v>
      </c>
      <c r="T2284" s="26">
        <v>73.38</v>
      </c>
    </row>
    <row r="2285" spans="1:20" x14ac:dyDescent="0.35">
      <c r="A2285" s="7">
        <v>45749</v>
      </c>
      <c r="N2285" s="26">
        <v>68.55</v>
      </c>
      <c r="O2285" s="26"/>
      <c r="P2285" s="26">
        <v>70.489999999999995</v>
      </c>
      <c r="Q2285" s="26"/>
      <c r="R2285" s="26">
        <v>72.73</v>
      </c>
      <c r="S2285" s="26">
        <v>75.290000000000006</v>
      </c>
      <c r="T2285" s="26">
        <v>72.010000000000005</v>
      </c>
    </row>
    <row r="2286" spans="1:20" x14ac:dyDescent="0.35">
      <c r="A2286" s="7">
        <v>45750</v>
      </c>
      <c r="N2286" s="26">
        <v>66.06</v>
      </c>
      <c r="O2286" s="26"/>
      <c r="P2286" s="26">
        <v>67.900000000000006</v>
      </c>
      <c r="Q2286" s="26"/>
      <c r="R2286" s="26">
        <v>70.03</v>
      </c>
      <c r="S2286" s="26">
        <v>72.459999999999994</v>
      </c>
      <c r="T2286" s="26">
        <v>69.349999999999994</v>
      </c>
    </row>
    <row r="2287" spans="1:20" x14ac:dyDescent="0.35">
      <c r="A2287" s="7">
        <v>45751</v>
      </c>
      <c r="N2287" s="26">
        <v>63.82</v>
      </c>
      <c r="O2287" s="26"/>
      <c r="P2287" s="26">
        <v>65.5</v>
      </c>
      <c r="Q2287" s="26"/>
      <c r="R2287" s="26">
        <v>67.489999999999995</v>
      </c>
      <c r="S2287" s="26">
        <v>69.8</v>
      </c>
      <c r="T2287" s="26">
        <v>66.86</v>
      </c>
    </row>
    <row r="2288" spans="1:20" x14ac:dyDescent="0.35">
      <c r="A2288" s="7">
        <v>45752</v>
      </c>
      <c r="N2288" s="26">
        <v>63.82</v>
      </c>
      <c r="O2288" s="26"/>
      <c r="P2288" s="26">
        <v>65.5</v>
      </c>
      <c r="Q2288" s="26"/>
      <c r="R2288" s="26">
        <v>67.489999999999995</v>
      </c>
      <c r="S2288" s="26">
        <v>69.8</v>
      </c>
      <c r="T2288" s="26">
        <v>66.86</v>
      </c>
    </row>
    <row r="2289" spans="1:20" x14ac:dyDescent="0.35">
      <c r="A2289" s="7">
        <v>45753</v>
      </c>
      <c r="N2289" s="26">
        <v>63.82</v>
      </c>
      <c r="O2289" s="26"/>
      <c r="P2289" s="26">
        <v>65.5</v>
      </c>
      <c r="Q2289" s="26"/>
      <c r="R2289" s="26">
        <v>67.489999999999995</v>
      </c>
      <c r="S2289" s="26">
        <v>69.8</v>
      </c>
      <c r="T2289" s="26">
        <v>66.86</v>
      </c>
    </row>
    <row r="2290" spans="1:20" x14ac:dyDescent="0.35">
      <c r="A2290" s="7">
        <v>45754</v>
      </c>
      <c r="N2290" s="26">
        <v>62.84</v>
      </c>
      <c r="O2290" s="26"/>
      <c r="P2290" s="26">
        <v>64.5</v>
      </c>
      <c r="Q2290" s="26"/>
      <c r="R2290" s="26">
        <v>66.5</v>
      </c>
      <c r="S2290" s="26">
        <v>68.739999999999995</v>
      </c>
      <c r="T2290" s="26">
        <v>65.87</v>
      </c>
    </row>
    <row r="2291" spans="1:20" x14ac:dyDescent="0.35">
      <c r="A2291" s="7">
        <v>45755</v>
      </c>
      <c r="N2291" s="26">
        <v>62.06</v>
      </c>
      <c r="O2291" s="26"/>
      <c r="P2291" s="26">
        <v>63.74</v>
      </c>
      <c r="Q2291" s="26"/>
      <c r="R2291" s="26">
        <v>65.8</v>
      </c>
      <c r="S2291" s="26">
        <v>68.17</v>
      </c>
      <c r="T2291" s="26">
        <v>65.150000000000006</v>
      </c>
    </row>
    <row r="2292" spans="1:20" x14ac:dyDescent="0.35">
      <c r="A2292" s="7">
        <v>45756</v>
      </c>
      <c r="N2292" s="26">
        <v>60.94</v>
      </c>
      <c r="O2292" s="26"/>
      <c r="P2292" s="26">
        <v>62.54</v>
      </c>
      <c r="Q2292" s="26"/>
      <c r="R2292" s="26">
        <v>64.540000000000006</v>
      </c>
      <c r="S2292" s="26">
        <v>66.86</v>
      </c>
      <c r="T2292" s="26">
        <v>63.89</v>
      </c>
    </row>
    <row r="2293" spans="1:20" x14ac:dyDescent="0.35">
      <c r="A2293" s="7">
        <v>45757</v>
      </c>
      <c r="N2293" s="26">
        <v>62.12</v>
      </c>
      <c r="O2293" s="26"/>
      <c r="P2293" s="26">
        <v>63.8</v>
      </c>
      <c r="Q2293" s="26"/>
      <c r="R2293" s="26">
        <v>65.8</v>
      </c>
      <c r="S2293" s="26">
        <v>68.13</v>
      </c>
      <c r="T2293" s="26">
        <v>65.150000000000006</v>
      </c>
    </row>
    <row r="2294" spans="1:20" x14ac:dyDescent="0.35">
      <c r="A2294" s="7">
        <v>45758</v>
      </c>
      <c r="N2294" s="26">
        <v>64.819999999999993</v>
      </c>
      <c r="O2294" s="26"/>
      <c r="P2294" s="26">
        <v>66.55</v>
      </c>
      <c r="Q2294" s="26"/>
      <c r="R2294" s="26">
        <v>68.62</v>
      </c>
      <c r="S2294" s="26">
        <v>70.98</v>
      </c>
      <c r="T2294" s="26">
        <v>67.95</v>
      </c>
    </row>
    <row r="2295" spans="1:20" x14ac:dyDescent="0.35">
      <c r="A2295" s="7">
        <v>45759</v>
      </c>
      <c r="N2295" s="26">
        <v>64.819999999999993</v>
      </c>
      <c r="O2295" s="26"/>
      <c r="P2295" s="26">
        <v>66.55</v>
      </c>
      <c r="Q2295" s="26"/>
      <c r="R2295" s="26">
        <v>68.62</v>
      </c>
      <c r="S2295" s="26">
        <v>70.98</v>
      </c>
      <c r="T2295" s="26">
        <v>67.95</v>
      </c>
    </row>
    <row r="2296" spans="1:20" x14ac:dyDescent="0.35">
      <c r="A2296" s="7">
        <v>45760</v>
      </c>
      <c r="N2296" s="26">
        <v>64.819999999999993</v>
      </c>
      <c r="O2296" s="26"/>
      <c r="P2296" s="26">
        <v>66.55</v>
      </c>
      <c r="Q2296" s="26"/>
      <c r="R2296" s="26">
        <v>68.62</v>
      </c>
      <c r="S2296" s="26">
        <v>70.98</v>
      </c>
      <c r="T2296" s="26">
        <v>67.95</v>
      </c>
    </row>
    <row r="2297" spans="1:20" x14ac:dyDescent="0.35">
      <c r="A2297" s="7">
        <v>45761</v>
      </c>
      <c r="N2297" s="26">
        <v>66.510000000000005</v>
      </c>
      <c r="O2297" s="26"/>
      <c r="P2297" s="26">
        <v>68.28</v>
      </c>
      <c r="Q2297" s="26"/>
      <c r="R2297" s="26">
        <v>70.36</v>
      </c>
      <c r="S2297" s="26">
        <v>72.62</v>
      </c>
      <c r="T2297" s="26">
        <v>69.69</v>
      </c>
    </row>
    <row r="2298" spans="1:20" x14ac:dyDescent="0.35">
      <c r="A2298" s="7">
        <v>45762</v>
      </c>
      <c r="N2298" s="26">
        <v>66.19</v>
      </c>
      <c r="O2298" s="26"/>
      <c r="P2298" s="26">
        <v>67.92</v>
      </c>
      <c r="Q2298" s="26"/>
      <c r="R2298" s="26">
        <v>69.98</v>
      </c>
      <c r="S2298" s="26">
        <v>72.31</v>
      </c>
      <c r="T2298" s="26">
        <v>69.31</v>
      </c>
    </row>
    <row r="2299" spans="1:20" x14ac:dyDescent="0.35">
      <c r="A2299" s="7">
        <v>45763</v>
      </c>
      <c r="N2299" s="26">
        <v>66.97</v>
      </c>
      <c r="O2299" s="26"/>
      <c r="P2299" s="26">
        <v>68.72</v>
      </c>
      <c r="Q2299" s="26"/>
      <c r="R2299" s="26">
        <v>70.8</v>
      </c>
      <c r="S2299" s="26">
        <v>73.12</v>
      </c>
      <c r="T2299" s="26">
        <v>70.12</v>
      </c>
    </row>
    <row r="2300" spans="1:20" x14ac:dyDescent="0.35">
      <c r="A2300" s="7">
        <v>45764</v>
      </c>
      <c r="N2300" s="26">
        <v>65.89</v>
      </c>
      <c r="O2300" s="26"/>
      <c r="P2300" s="26">
        <v>67.569999999999993</v>
      </c>
      <c r="Q2300" s="26"/>
      <c r="R2300" s="26">
        <v>69.59</v>
      </c>
      <c r="S2300" s="26">
        <v>71.91</v>
      </c>
      <c r="T2300" s="26">
        <v>68.930000000000007</v>
      </c>
    </row>
    <row r="2301" spans="1:20" x14ac:dyDescent="0.35">
      <c r="A2301" s="7">
        <v>45765</v>
      </c>
      <c r="N2301" s="26">
        <v>65.89</v>
      </c>
      <c r="O2301" s="26"/>
      <c r="P2301" s="26">
        <v>67.569999999999993</v>
      </c>
      <c r="Q2301" s="26"/>
      <c r="R2301" s="26">
        <v>69.59</v>
      </c>
      <c r="S2301" s="26">
        <v>71.91</v>
      </c>
      <c r="T2301" s="26">
        <v>68.930000000000007</v>
      </c>
    </row>
    <row r="2302" spans="1:20" x14ac:dyDescent="0.35">
      <c r="A2302" s="7">
        <v>45766</v>
      </c>
      <c r="N2302" s="26">
        <v>65.89</v>
      </c>
      <c r="O2302" s="26"/>
      <c r="P2302" s="26">
        <v>67.569999999999993</v>
      </c>
      <c r="Q2302" s="26"/>
      <c r="R2302" s="26">
        <v>69.59</v>
      </c>
      <c r="S2302" s="26">
        <v>71.91</v>
      </c>
      <c r="T2302" s="26">
        <v>68.930000000000007</v>
      </c>
    </row>
    <row r="2303" spans="1:20" x14ac:dyDescent="0.35">
      <c r="A2303" s="7">
        <v>45767</v>
      </c>
      <c r="N2303" s="26">
        <v>65.89</v>
      </c>
      <c r="O2303" s="26"/>
      <c r="P2303" s="26">
        <v>67.569999999999993</v>
      </c>
      <c r="Q2303" s="26"/>
      <c r="R2303" s="26">
        <v>69.59</v>
      </c>
      <c r="S2303" s="26">
        <v>71.91</v>
      </c>
      <c r="T2303" s="26">
        <v>68.930000000000007</v>
      </c>
    </row>
    <row r="2304" spans="1:20" x14ac:dyDescent="0.35">
      <c r="A2304" s="7">
        <v>45768</v>
      </c>
      <c r="N2304" s="26">
        <v>65.89</v>
      </c>
      <c r="O2304" s="26"/>
      <c r="P2304" s="26">
        <v>67.569999999999993</v>
      </c>
      <c r="Q2304" s="26"/>
      <c r="R2304" s="26">
        <v>69.59</v>
      </c>
      <c r="S2304" s="26">
        <v>71.91</v>
      </c>
      <c r="T2304" s="26">
        <v>68.930000000000007</v>
      </c>
    </row>
    <row r="2305" spans="1:20" x14ac:dyDescent="0.35">
      <c r="A2305" s="7">
        <v>45769</v>
      </c>
      <c r="N2305" s="26">
        <v>64.39</v>
      </c>
      <c r="O2305" s="26"/>
      <c r="P2305" s="26">
        <v>66</v>
      </c>
      <c r="Q2305" s="26"/>
      <c r="R2305" s="26">
        <v>67.97</v>
      </c>
      <c r="S2305" s="26">
        <v>70.290000000000006</v>
      </c>
      <c r="T2305" s="26">
        <v>67.33</v>
      </c>
    </row>
    <row r="2306" spans="1:20" x14ac:dyDescent="0.35">
      <c r="A2306" s="7">
        <v>45770</v>
      </c>
      <c r="N2306" s="26">
        <v>66.900000000000006</v>
      </c>
      <c r="O2306" s="26"/>
      <c r="P2306" s="26">
        <v>68.59</v>
      </c>
      <c r="Q2306" s="26"/>
      <c r="R2306" s="26">
        <v>70.63</v>
      </c>
      <c r="S2306" s="26">
        <v>72.95</v>
      </c>
      <c r="T2306" s="26">
        <v>69.959999999999994</v>
      </c>
    </row>
    <row r="2307" spans="1:20" x14ac:dyDescent="0.35">
      <c r="A2307" s="7">
        <v>45771</v>
      </c>
      <c r="N2307" s="26">
        <v>66.31</v>
      </c>
      <c r="O2307" s="26"/>
      <c r="P2307" s="26">
        <v>67.989999999999995</v>
      </c>
      <c r="Q2307" s="26"/>
      <c r="R2307" s="26">
        <v>69.989999999999995</v>
      </c>
      <c r="S2307" s="26">
        <v>72.27</v>
      </c>
      <c r="T2307" s="26">
        <v>69.33</v>
      </c>
    </row>
    <row r="2308" spans="1:20" x14ac:dyDescent="0.35">
      <c r="A2308" s="7">
        <v>45772</v>
      </c>
      <c r="N2308" s="26">
        <v>66.430000000000007</v>
      </c>
      <c r="O2308" s="26"/>
      <c r="P2308" s="26">
        <v>68.14</v>
      </c>
      <c r="Q2308" s="26"/>
      <c r="R2308" s="26">
        <v>70.16</v>
      </c>
      <c r="S2308" s="26">
        <v>72.42</v>
      </c>
      <c r="T2308" s="26">
        <v>69.5</v>
      </c>
    </row>
    <row r="2309" spans="1:20" x14ac:dyDescent="0.35">
      <c r="A2309" s="7">
        <v>45773</v>
      </c>
      <c r="N2309" s="26">
        <v>66.430000000000007</v>
      </c>
      <c r="O2309" s="26"/>
      <c r="P2309" s="26">
        <v>68.14</v>
      </c>
      <c r="Q2309" s="26"/>
      <c r="R2309" s="26">
        <v>70.16</v>
      </c>
      <c r="S2309" s="26">
        <v>72.42</v>
      </c>
      <c r="T2309" s="26">
        <v>69.5</v>
      </c>
    </row>
    <row r="2310" spans="1:20" x14ac:dyDescent="0.35">
      <c r="A2310" s="7">
        <v>45774</v>
      </c>
      <c r="N2310" s="26">
        <v>66.430000000000007</v>
      </c>
      <c r="O2310" s="26"/>
      <c r="P2310" s="26">
        <v>68.14</v>
      </c>
      <c r="Q2310" s="26"/>
      <c r="R2310" s="26">
        <v>70.16</v>
      </c>
      <c r="S2310" s="26">
        <v>72.42</v>
      </c>
      <c r="T2310" s="26">
        <v>69.5</v>
      </c>
    </row>
    <row r="2311" spans="1:20" x14ac:dyDescent="0.35">
      <c r="A2311" s="7">
        <v>45775</v>
      </c>
      <c r="N2311" s="26">
        <v>65.31</v>
      </c>
      <c r="O2311" s="26"/>
      <c r="P2311" s="26">
        <v>67</v>
      </c>
      <c r="Q2311" s="26"/>
      <c r="R2311" s="26">
        <v>68.989999999999995</v>
      </c>
      <c r="S2311" s="26">
        <v>71.33</v>
      </c>
      <c r="T2311" s="26">
        <v>68.41</v>
      </c>
    </row>
    <row r="2312" spans="1:20" x14ac:dyDescent="0.35">
      <c r="A2312" s="7">
        <v>45776</v>
      </c>
      <c r="N2312" s="26">
        <v>64.849999999999994</v>
      </c>
      <c r="O2312" s="26"/>
      <c r="P2312" s="26">
        <v>66.540000000000006</v>
      </c>
      <c r="Q2312" s="26"/>
      <c r="R2312" s="26">
        <v>68.53</v>
      </c>
      <c r="S2312" s="26">
        <v>70.78</v>
      </c>
      <c r="T2312" s="26">
        <v>67.94</v>
      </c>
    </row>
    <row r="2313" spans="1:20" x14ac:dyDescent="0.35">
      <c r="A2313" s="7">
        <v>45777</v>
      </c>
      <c r="N2313" s="26">
        <v>67.02</v>
      </c>
      <c r="O2313" s="26"/>
      <c r="P2313" s="26">
        <v>68.709999999999994</v>
      </c>
      <c r="Q2313" s="26"/>
      <c r="R2313" s="26">
        <v>70.7</v>
      </c>
      <c r="S2313" s="26">
        <v>72.94</v>
      </c>
      <c r="T2313" s="26">
        <v>70.05</v>
      </c>
    </row>
    <row r="2314" spans="1:20" x14ac:dyDescent="0.35">
      <c r="A2314" s="7">
        <v>45778</v>
      </c>
      <c r="N2314" s="26">
        <v>67.02</v>
      </c>
      <c r="O2314" s="26"/>
      <c r="P2314" s="26">
        <v>68.709999999999994</v>
      </c>
      <c r="Q2314" s="26"/>
      <c r="R2314" s="26">
        <v>70.7</v>
      </c>
      <c r="S2314" s="26">
        <v>72.94</v>
      </c>
      <c r="T2314" s="26">
        <v>70.05</v>
      </c>
    </row>
    <row r="2315" spans="1:20" x14ac:dyDescent="0.35">
      <c r="A2315" s="7">
        <v>45779</v>
      </c>
      <c r="N2315" s="26">
        <v>68.760000000000005</v>
      </c>
      <c r="O2315" s="26"/>
      <c r="P2315" s="26">
        <v>70.510000000000005</v>
      </c>
      <c r="Q2315" s="26"/>
      <c r="R2315" s="26">
        <v>72.569999999999993</v>
      </c>
      <c r="S2315" s="26">
        <v>74.89</v>
      </c>
      <c r="T2315" s="26">
        <v>71.89</v>
      </c>
    </row>
    <row r="2316" spans="1:20" x14ac:dyDescent="0.35">
      <c r="A2316" s="7">
        <v>45780</v>
      </c>
      <c r="N2316" s="26">
        <v>68.760000000000005</v>
      </c>
      <c r="O2316" s="26"/>
      <c r="P2316" s="26">
        <v>70.510000000000005</v>
      </c>
      <c r="Q2316" s="26"/>
      <c r="R2316" s="26">
        <v>72.569999999999993</v>
      </c>
      <c r="S2316" s="26">
        <v>74.89</v>
      </c>
      <c r="T2316" s="26">
        <v>71.89</v>
      </c>
    </row>
    <row r="2317" spans="1:20" x14ac:dyDescent="0.35">
      <c r="A2317" s="7">
        <v>45781</v>
      </c>
      <c r="N2317" s="26">
        <v>68.760000000000005</v>
      </c>
      <c r="O2317" s="26"/>
      <c r="P2317" s="26">
        <v>70.510000000000005</v>
      </c>
      <c r="Q2317" s="26"/>
      <c r="R2317" s="26">
        <v>72.569999999999993</v>
      </c>
      <c r="S2317" s="26">
        <v>74.89</v>
      </c>
      <c r="T2317" s="26">
        <v>71.89</v>
      </c>
    </row>
    <row r="2318" spans="1:20" x14ac:dyDescent="0.35">
      <c r="A2318" s="7">
        <v>45782</v>
      </c>
      <c r="N2318" s="26">
        <v>67.47</v>
      </c>
      <c r="O2318" s="26"/>
      <c r="P2318" s="26">
        <v>69.2</v>
      </c>
      <c r="Q2318" s="26"/>
      <c r="R2318" s="26">
        <v>71.260000000000005</v>
      </c>
      <c r="S2318" s="26">
        <v>73.569999999999993</v>
      </c>
      <c r="T2318" s="26">
        <v>70.59</v>
      </c>
    </row>
    <row r="2319" spans="1:20" x14ac:dyDescent="0.35">
      <c r="A2319" s="7">
        <v>45783</v>
      </c>
      <c r="N2319" s="26">
        <v>69.27</v>
      </c>
      <c r="O2319" s="26"/>
      <c r="P2319" s="26">
        <v>71.05</v>
      </c>
      <c r="Q2319" s="26"/>
      <c r="R2319" s="26">
        <v>73.13</v>
      </c>
      <c r="S2319" s="26">
        <v>75.41</v>
      </c>
      <c r="T2319" s="26">
        <v>72.44</v>
      </c>
    </row>
    <row r="2320" spans="1:20" x14ac:dyDescent="0.35">
      <c r="A2320" s="7">
        <v>45784</v>
      </c>
      <c r="N2320" s="26">
        <v>71.06</v>
      </c>
      <c r="O2320" s="26"/>
      <c r="P2320" s="26">
        <v>72.849999999999994</v>
      </c>
      <c r="Q2320" s="26"/>
      <c r="R2320" s="26">
        <v>74.959999999999994</v>
      </c>
      <c r="S2320" s="26">
        <v>77.28</v>
      </c>
      <c r="T2320" s="26">
        <v>74.260000000000005</v>
      </c>
    </row>
    <row r="2321" spans="1:20" x14ac:dyDescent="0.35">
      <c r="A2321" s="7">
        <v>45785</v>
      </c>
      <c r="N2321" s="26">
        <v>70.72</v>
      </c>
      <c r="O2321" s="26"/>
      <c r="P2321" s="26">
        <v>72.52</v>
      </c>
      <c r="Q2321" s="26"/>
      <c r="R2321" s="26">
        <v>74.63</v>
      </c>
      <c r="S2321" s="26">
        <v>76.97</v>
      </c>
      <c r="T2321" s="26">
        <v>73.930000000000007</v>
      </c>
    </row>
    <row r="2322" spans="1:20" x14ac:dyDescent="0.35">
      <c r="A2322" s="7">
        <v>45786</v>
      </c>
      <c r="N2322" s="26">
        <v>70.39</v>
      </c>
      <c r="O2322" s="26"/>
      <c r="P2322" s="26">
        <v>72.2</v>
      </c>
      <c r="Q2322" s="26"/>
      <c r="R2322" s="26">
        <v>74.33</v>
      </c>
      <c r="S2322" s="26">
        <v>76.709999999999994</v>
      </c>
      <c r="T2322" s="26">
        <v>73.62</v>
      </c>
    </row>
    <row r="2323" spans="1:20" x14ac:dyDescent="0.35">
      <c r="A2323" s="7">
        <v>45787</v>
      </c>
      <c r="N2323" s="26">
        <v>70.39</v>
      </c>
      <c r="O2323" s="26"/>
      <c r="P2323" s="26">
        <v>72.2</v>
      </c>
      <c r="Q2323" s="26"/>
      <c r="R2323" s="26">
        <v>74.33</v>
      </c>
      <c r="S2323" s="26">
        <v>76.709999999999994</v>
      </c>
      <c r="T2323" s="26">
        <v>73.62</v>
      </c>
    </row>
    <row r="2324" spans="1:20" x14ac:dyDescent="0.35">
      <c r="A2324" s="7">
        <v>45788</v>
      </c>
      <c r="N2324" s="26">
        <v>70.39</v>
      </c>
      <c r="O2324" s="26"/>
      <c r="P2324" s="26">
        <v>72.2</v>
      </c>
      <c r="Q2324" s="26"/>
      <c r="R2324" s="26">
        <v>74.33</v>
      </c>
      <c r="S2324" s="26">
        <v>76.709999999999994</v>
      </c>
      <c r="T2324" s="26">
        <v>73.62</v>
      </c>
    </row>
    <row r="2325" spans="1:20" x14ac:dyDescent="0.35">
      <c r="A2325" s="7">
        <v>45789</v>
      </c>
      <c r="N2325" s="26">
        <v>73.41</v>
      </c>
      <c r="O2325" s="26"/>
      <c r="P2325" s="26">
        <v>75.349999999999994</v>
      </c>
      <c r="Q2325" s="26"/>
      <c r="R2325" s="26">
        <v>77.62</v>
      </c>
      <c r="S2325" s="26">
        <v>80.12</v>
      </c>
      <c r="T2325" s="26">
        <v>76.819999999999993</v>
      </c>
    </row>
    <row r="2326" spans="1:20" x14ac:dyDescent="0.35">
      <c r="A2326" s="7">
        <v>45790</v>
      </c>
      <c r="N2326" s="26">
        <v>72.900000000000006</v>
      </c>
      <c r="O2326" s="26"/>
      <c r="P2326" s="26">
        <v>74.849999999999994</v>
      </c>
      <c r="Q2326" s="26"/>
      <c r="R2326" s="26">
        <v>77.150000000000006</v>
      </c>
      <c r="S2326" s="26">
        <v>79.650000000000006</v>
      </c>
      <c r="T2326" s="26">
        <v>76.34</v>
      </c>
    </row>
    <row r="2327" spans="1:20" x14ac:dyDescent="0.35">
      <c r="A2327" s="7">
        <v>45791</v>
      </c>
      <c r="N2327" s="26">
        <v>72.33</v>
      </c>
      <c r="O2327" s="26"/>
      <c r="P2327" s="26">
        <v>74.28</v>
      </c>
      <c r="Q2327" s="26"/>
      <c r="R2327" s="26">
        <v>76.569999999999993</v>
      </c>
      <c r="S2327" s="26">
        <v>79.069999999999993</v>
      </c>
      <c r="T2327" s="26">
        <v>75.77</v>
      </c>
    </row>
    <row r="2328" spans="1:20" x14ac:dyDescent="0.35">
      <c r="A2328" s="7">
        <v>45792</v>
      </c>
      <c r="N2328" s="26">
        <v>73.41</v>
      </c>
      <c r="O2328" s="26"/>
      <c r="P2328" s="26">
        <v>75.36</v>
      </c>
      <c r="Q2328" s="26"/>
      <c r="R2328" s="26">
        <v>77.66</v>
      </c>
      <c r="S2328" s="26">
        <v>80.16</v>
      </c>
      <c r="T2328" s="26">
        <v>76.86</v>
      </c>
    </row>
    <row r="2329" spans="1:20" x14ac:dyDescent="0.35">
      <c r="A2329" s="7">
        <v>45793</v>
      </c>
      <c r="N2329" s="26">
        <v>70.989999999999995</v>
      </c>
      <c r="O2329" s="26"/>
      <c r="P2329" s="26">
        <v>72.900000000000006</v>
      </c>
      <c r="Q2329" s="26"/>
      <c r="R2329" s="26">
        <v>75.11</v>
      </c>
      <c r="S2329" s="26">
        <v>77.66</v>
      </c>
      <c r="T2329" s="26">
        <v>74.37</v>
      </c>
    </row>
    <row r="2330" spans="1:20" x14ac:dyDescent="0.35">
      <c r="A2330" s="7">
        <v>45794</v>
      </c>
      <c r="N2330" s="26">
        <v>70.989999999999995</v>
      </c>
      <c r="O2330" s="26"/>
      <c r="P2330" s="26">
        <v>72.900000000000006</v>
      </c>
      <c r="Q2330" s="26"/>
      <c r="R2330" s="26">
        <v>75.11</v>
      </c>
      <c r="S2330" s="26">
        <v>77.66</v>
      </c>
      <c r="T2330" s="26">
        <v>74.37</v>
      </c>
    </row>
    <row r="2331" spans="1:20" x14ac:dyDescent="0.35">
      <c r="A2331" s="7">
        <v>45795</v>
      </c>
      <c r="N2331" s="26">
        <v>70.989999999999995</v>
      </c>
      <c r="O2331" s="26"/>
      <c r="P2331" s="26">
        <v>72.900000000000006</v>
      </c>
      <c r="Q2331" s="26"/>
      <c r="R2331" s="26">
        <v>75.11</v>
      </c>
      <c r="S2331" s="26">
        <v>77.66</v>
      </c>
      <c r="T2331" s="26">
        <v>74.37</v>
      </c>
    </row>
    <row r="2332" spans="1:20" x14ac:dyDescent="0.35">
      <c r="A2332" s="7">
        <v>45796</v>
      </c>
      <c r="N2332" s="26">
        <v>70.42</v>
      </c>
      <c r="O2332" s="26"/>
      <c r="P2332" s="26">
        <v>72.290000000000006</v>
      </c>
      <c r="Q2332" s="26"/>
      <c r="R2332" s="26">
        <v>74.52</v>
      </c>
      <c r="S2332" s="26">
        <v>77.03</v>
      </c>
      <c r="T2332" s="26">
        <v>73.78</v>
      </c>
    </row>
    <row r="2333" spans="1:20" x14ac:dyDescent="0.35">
      <c r="A2333" s="7">
        <v>45797</v>
      </c>
      <c r="N2333" s="26">
        <v>73.180000000000007</v>
      </c>
      <c r="O2333" s="26"/>
      <c r="P2333" s="26">
        <v>75.11</v>
      </c>
      <c r="Q2333" s="26"/>
      <c r="R2333" s="26">
        <v>77.38</v>
      </c>
      <c r="S2333" s="26">
        <v>79.930000000000007</v>
      </c>
      <c r="T2333" s="26">
        <v>76.62</v>
      </c>
    </row>
    <row r="2334" spans="1:20" x14ac:dyDescent="0.35">
      <c r="A2334" s="7">
        <v>45798</v>
      </c>
      <c r="N2334" s="26">
        <v>72.739999999999995</v>
      </c>
      <c r="O2334" s="26"/>
      <c r="P2334" s="26">
        <v>74.66</v>
      </c>
      <c r="Q2334" s="26"/>
      <c r="R2334" s="26">
        <v>76.930000000000007</v>
      </c>
      <c r="S2334" s="26">
        <v>79.53</v>
      </c>
      <c r="T2334" s="26">
        <v>76.19</v>
      </c>
    </row>
    <row r="2335" spans="1:20" x14ac:dyDescent="0.35">
      <c r="A2335" s="7">
        <v>45799</v>
      </c>
      <c r="N2335" s="26">
        <v>72.150000000000006</v>
      </c>
      <c r="O2335" s="26"/>
      <c r="P2335" s="26">
        <v>74.040000000000006</v>
      </c>
      <c r="Q2335" s="26"/>
      <c r="R2335" s="26">
        <v>76.28</v>
      </c>
      <c r="S2335" s="26">
        <v>78.87</v>
      </c>
      <c r="T2335" s="26">
        <v>75.55</v>
      </c>
    </row>
    <row r="2336" spans="1:20" x14ac:dyDescent="0.35">
      <c r="A2336" s="7">
        <v>45800</v>
      </c>
      <c r="N2336" s="26">
        <v>71.56</v>
      </c>
      <c r="O2336" s="26"/>
      <c r="P2336" s="26">
        <v>73.39</v>
      </c>
      <c r="Q2336" s="26"/>
      <c r="R2336" s="26">
        <v>75.62</v>
      </c>
      <c r="S2336" s="26">
        <v>78.150000000000006</v>
      </c>
      <c r="T2336" s="26">
        <v>74.849999999999994</v>
      </c>
    </row>
    <row r="2337" spans="1:20" x14ac:dyDescent="0.35">
      <c r="A2337" s="7">
        <v>45801</v>
      </c>
      <c r="N2337" s="26">
        <v>71.56</v>
      </c>
      <c r="O2337" s="26"/>
      <c r="P2337" s="26">
        <v>73.39</v>
      </c>
      <c r="Q2337" s="26"/>
      <c r="R2337" s="26">
        <v>75.62</v>
      </c>
      <c r="S2337" s="26">
        <v>78.150000000000006</v>
      </c>
      <c r="T2337" s="26">
        <v>74.849999999999994</v>
      </c>
    </row>
    <row r="2338" spans="1:20" x14ac:dyDescent="0.35">
      <c r="A2338" s="7">
        <v>45802</v>
      </c>
      <c r="N2338" s="26">
        <v>71.56</v>
      </c>
      <c r="O2338" s="26"/>
      <c r="P2338" s="26">
        <v>73.39</v>
      </c>
      <c r="Q2338" s="26"/>
      <c r="R2338" s="26">
        <v>75.62</v>
      </c>
      <c r="S2338" s="26">
        <v>78.150000000000006</v>
      </c>
      <c r="T2338" s="26">
        <v>74.849999999999994</v>
      </c>
    </row>
    <row r="2339" spans="1:20" x14ac:dyDescent="0.35">
      <c r="A2339" s="7">
        <v>45803</v>
      </c>
      <c r="N2339" s="26">
        <v>73.03</v>
      </c>
      <c r="O2339" s="26"/>
      <c r="P2339" s="26">
        <v>74.92</v>
      </c>
      <c r="Q2339" s="26"/>
      <c r="R2339" s="26">
        <v>77.180000000000007</v>
      </c>
      <c r="S2339" s="26">
        <v>79.709999999999994</v>
      </c>
      <c r="T2339" s="26">
        <v>76.400000000000006</v>
      </c>
    </row>
    <row r="2340" spans="1:20" x14ac:dyDescent="0.35">
      <c r="A2340" s="7">
        <v>45804</v>
      </c>
      <c r="N2340" s="26">
        <v>71.760000000000005</v>
      </c>
      <c r="O2340" s="26"/>
      <c r="P2340" s="26">
        <v>73.61</v>
      </c>
      <c r="Q2340" s="26"/>
      <c r="R2340" s="26">
        <v>75.819999999999993</v>
      </c>
      <c r="S2340" s="26">
        <v>78.34</v>
      </c>
      <c r="T2340" s="26">
        <v>75.069999999999993</v>
      </c>
    </row>
    <row r="2341" spans="1:20" x14ac:dyDescent="0.35">
      <c r="A2341" s="7">
        <v>45805</v>
      </c>
      <c r="N2341" s="26">
        <v>72.069999999999993</v>
      </c>
      <c r="O2341" s="26"/>
      <c r="P2341" s="26">
        <v>73.92</v>
      </c>
      <c r="Q2341" s="26"/>
      <c r="R2341" s="26">
        <v>76.13</v>
      </c>
      <c r="S2341" s="26">
        <v>78.69</v>
      </c>
      <c r="T2341" s="26">
        <v>75.38</v>
      </c>
    </row>
    <row r="2342" spans="1:20" x14ac:dyDescent="0.35">
      <c r="A2342" s="7">
        <v>45806</v>
      </c>
      <c r="N2342" s="26">
        <v>70.94</v>
      </c>
      <c r="O2342" s="26"/>
      <c r="P2342" s="26">
        <v>72.760000000000005</v>
      </c>
      <c r="Q2342" s="26"/>
      <c r="R2342" s="26">
        <v>74.95</v>
      </c>
      <c r="S2342" s="26">
        <v>77.459999999999994</v>
      </c>
      <c r="T2342" s="26">
        <v>74.209999999999994</v>
      </c>
    </row>
    <row r="2343" spans="1:20" x14ac:dyDescent="0.35">
      <c r="A2343" s="7">
        <v>45807</v>
      </c>
      <c r="N2343" s="26">
        <v>70.41</v>
      </c>
      <c r="O2343" s="26"/>
      <c r="P2343" s="26">
        <v>72.23</v>
      </c>
      <c r="Q2343" s="26"/>
      <c r="R2343" s="26">
        <v>74.42</v>
      </c>
      <c r="S2343" s="26">
        <v>76.959999999999994</v>
      </c>
      <c r="T2343" s="26">
        <v>73.790000000000006</v>
      </c>
    </row>
    <row r="2344" spans="1:20" x14ac:dyDescent="0.35">
      <c r="A2344" s="7">
        <v>45808</v>
      </c>
      <c r="N2344" s="26">
        <v>70.41</v>
      </c>
      <c r="O2344" s="26"/>
      <c r="P2344" s="26">
        <v>72.23</v>
      </c>
      <c r="Q2344" s="26"/>
      <c r="R2344" s="26">
        <v>74.42</v>
      </c>
      <c r="S2344" s="26">
        <v>76.959999999999994</v>
      </c>
      <c r="T2344" s="26">
        <v>73.790000000000006</v>
      </c>
    </row>
    <row r="2345" spans="1:20" x14ac:dyDescent="0.35">
      <c r="A2345" s="7">
        <v>45809</v>
      </c>
      <c r="N2345" s="26">
        <v>70.41</v>
      </c>
      <c r="O2345" s="26"/>
      <c r="P2345" s="26">
        <v>72.23</v>
      </c>
      <c r="Q2345" s="26"/>
      <c r="R2345" s="26">
        <v>74.42</v>
      </c>
      <c r="S2345" s="26">
        <v>76.959999999999994</v>
      </c>
      <c r="T2345" s="26">
        <v>73.790000000000006</v>
      </c>
    </row>
    <row r="2346" spans="1:20" x14ac:dyDescent="0.35">
      <c r="A2346" s="7">
        <v>45810</v>
      </c>
      <c r="N2346" s="26">
        <v>70.91</v>
      </c>
      <c r="O2346" s="26"/>
      <c r="P2346" s="26">
        <v>72.73</v>
      </c>
      <c r="Q2346" s="26"/>
      <c r="R2346" s="26">
        <v>74.930000000000007</v>
      </c>
      <c r="S2346" s="26">
        <v>77.44</v>
      </c>
      <c r="T2346" s="26">
        <v>74.22</v>
      </c>
    </row>
    <row r="2347" spans="1:20" x14ac:dyDescent="0.35">
      <c r="A2347" s="7">
        <v>45811</v>
      </c>
      <c r="N2347" s="26">
        <v>72.599999999999994</v>
      </c>
      <c r="O2347" s="26"/>
      <c r="P2347" s="26">
        <v>74.44</v>
      </c>
      <c r="Q2347" s="26"/>
      <c r="R2347" s="26">
        <v>76.63</v>
      </c>
      <c r="S2347" s="26">
        <v>79.150000000000006</v>
      </c>
      <c r="T2347" s="26">
        <v>75.92</v>
      </c>
    </row>
    <row r="2348" spans="1:20" x14ac:dyDescent="0.35">
      <c r="A2348" s="7">
        <v>45812</v>
      </c>
      <c r="N2348" s="26">
        <v>72.61</v>
      </c>
      <c r="O2348" s="26"/>
      <c r="P2348" s="26">
        <v>74.459999999999994</v>
      </c>
      <c r="Q2348" s="26"/>
      <c r="R2348" s="26">
        <v>76.7</v>
      </c>
      <c r="S2348" s="26">
        <v>79.23</v>
      </c>
      <c r="T2348" s="26">
        <v>75.959999999999994</v>
      </c>
    </row>
    <row r="2349" spans="1:20" x14ac:dyDescent="0.35">
      <c r="A2349" s="7">
        <v>45813</v>
      </c>
      <c r="N2349" s="26">
        <v>72.739999999999995</v>
      </c>
      <c r="O2349" s="26"/>
      <c r="P2349" s="26">
        <v>74.64</v>
      </c>
      <c r="Q2349" s="26"/>
      <c r="R2349" s="26">
        <v>76.89</v>
      </c>
      <c r="S2349" s="26">
        <v>79.44</v>
      </c>
      <c r="T2349" s="26">
        <v>76.16</v>
      </c>
    </row>
    <row r="2350" spans="1:20" x14ac:dyDescent="0.35">
      <c r="A2350" s="7">
        <v>45814</v>
      </c>
      <c r="N2350" s="26">
        <v>73.5</v>
      </c>
      <c r="O2350" s="26"/>
      <c r="P2350" s="26">
        <v>75.430000000000007</v>
      </c>
      <c r="Q2350" s="26"/>
      <c r="R2350" s="26">
        <v>77.69</v>
      </c>
      <c r="S2350" s="26">
        <v>80.23</v>
      </c>
      <c r="T2350" s="26">
        <v>76.959999999999994</v>
      </c>
    </row>
    <row r="2351" spans="1:20" x14ac:dyDescent="0.35">
      <c r="A2351" s="7">
        <v>45815</v>
      </c>
      <c r="N2351" s="26">
        <v>73.5</v>
      </c>
      <c r="O2351" s="26"/>
      <c r="P2351" s="26">
        <v>75.430000000000007</v>
      </c>
      <c r="Q2351" s="26"/>
      <c r="R2351" s="26">
        <v>77.69</v>
      </c>
      <c r="S2351" s="26">
        <v>80.23</v>
      </c>
      <c r="T2351" s="26">
        <v>76.959999999999994</v>
      </c>
    </row>
    <row r="2352" spans="1:20" x14ac:dyDescent="0.35">
      <c r="A2352" s="7">
        <v>45816</v>
      </c>
      <c r="N2352" s="26">
        <v>73.5</v>
      </c>
      <c r="O2352" s="26"/>
      <c r="P2352" s="26">
        <v>75.430000000000007</v>
      </c>
      <c r="Q2352" s="26"/>
      <c r="R2352" s="26">
        <v>77.69</v>
      </c>
      <c r="S2352" s="26">
        <v>80.23</v>
      </c>
      <c r="T2352" s="26">
        <v>76.959999999999994</v>
      </c>
    </row>
    <row r="2353" spans="1:20" x14ac:dyDescent="0.35">
      <c r="A2353" s="7">
        <v>45817</v>
      </c>
      <c r="N2353" s="26">
        <v>74.23</v>
      </c>
      <c r="O2353" s="26"/>
      <c r="P2353" s="26">
        <v>76.17</v>
      </c>
      <c r="Q2353" s="26"/>
      <c r="R2353" s="26">
        <v>78.44</v>
      </c>
      <c r="S2353" s="26">
        <v>80.98</v>
      </c>
      <c r="T2353" s="26">
        <v>77.7</v>
      </c>
    </row>
    <row r="2354" spans="1:20" x14ac:dyDescent="0.35">
      <c r="A2354" s="7">
        <v>45818</v>
      </c>
      <c r="N2354" s="26">
        <v>72.66</v>
      </c>
      <c r="O2354" s="26"/>
      <c r="P2354" s="26">
        <v>74.56</v>
      </c>
      <c r="Q2354" s="26"/>
      <c r="R2354" s="26">
        <v>76.8</v>
      </c>
      <c r="S2354" s="26">
        <v>79.400000000000006</v>
      </c>
      <c r="T2354" s="26">
        <v>76.06</v>
      </c>
    </row>
    <row r="2355" spans="1:20" x14ac:dyDescent="0.35">
      <c r="A2355" s="7">
        <v>45819</v>
      </c>
      <c r="N2355" s="26">
        <v>74.36</v>
      </c>
      <c r="O2355" s="26"/>
      <c r="P2355" s="26">
        <v>76.290000000000006</v>
      </c>
      <c r="Q2355" s="26"/>
      <c r="R2355" s="26">
        <v>78.55</v>
      </c>
      <c r="S2355" s="26">
        <v>81.2</v>
      </c>
      <c r="T2355" s="26">
        <v>77.790000000000006</v>
      </c>
    </row>
    <row r="2356" spans="1:20" x14ac:dyDescent="0.35">
      <c r="A2356" s="7">
        <v>45820</v>
      </c>
      <c r="N2356" s="26">
        <v>75.39</v>
      </c>
      <c r="O2356" s="26"/>
      <c r="P2356" s="26">
        <v>77.33</v>
      </c>
      <c r="Q2356" s="26"/>
      <c r="R2356" s="26">
        <v>79.599999999999994</v>
      </c>
      <c r="S2356" s="26">
        <v>82.23</v>
      </c>
      <c r="T2356" s="26">
        <v>78.78</v>
      </c>
    </row>
    <row r="2357" spans="1:20" x14ac:dyDescent="0.35">
      <c r="A2357" s="7">
        <v>45821</v>
      </c>
      <c r="N2357" s="26">
        <v>75.94</v>
      </c>
      <c r="O2357" s="26"/>
      <c r="P2357" s="26">
        <v>77.930000000000007</v>
      </c>
      <c r="Q2357" s="26"/>
      <c r="R2357" s="26">
        <v>80.239999999999995</v>
      </c>
      <c r="S2357" s="26">
        <v>82.96</v>
      </c>
      <c r="T2357" s="26">
        <v>79.459999999999994</v>
      </c>
    </row>
    <row r="2358" spans="1:20" x14ac:dyDescent="0.35">
      <c r="A2358" s="7">
        <v>45822</v>
      </c>
      <c r="N2358" s="26">
        <v>75.94</v>
      </c>
      <c r="O2358" s="26"/>
      <c r="P2358" s="26">
        <v>77.930000000000007</v>
      </c>
      <c r="Q2358" s="26"/>
      <c r="R2358" s="26">
        <v>80.239999999999995</v>
      </c>
      <c r="S2358" s="26">
        <v>82.96</v>
      </c>
      <c r="T2358" s="26">
        <v>79.459999999999994</v>
      </c>
    </row>
    <row r="2359" spans="1:20" x14ac:dyDescent="0.35">
      <c r="A2359" s="7">
        <v>45823</v>
      </c>
      <c r="N2359" s="26">
        <v>75.94</v>
      </c>
      <c r="O2359" s="26"/>
      <c r="P2359" s="26">
        <v>77.930000000000007</v>
      </c>
      <c r="Q2359" s="26"/>
      <c r="R2359" s="26">
        <v>80.239999999999995</v>
      </c>
      <c r="S2359" s="26">
        <v>82.96</v>
      </c>
      <c r="T2359" s="26">
        <v>79.459999999999994</v>
      </c>
    </row>
    <row r="2360" spans="1:20" x14ac:dyDescent="0.35">
      <c r="A2360" s="7">
        <v>45824</v>
      </c>
      <c r="N2360" s="26">
        <v>75.34</v>
      </c>
      <c r="O2360" s="26"/>
      <c r="P2360" s="26">
        <v>77.33</v>
      </c>
      <c r="Q2360" s="26"/>
      <c r="R2360" s="26">
        <v>79.650000000000006</v>
      </c>
      <c r="S2360" s="26">
        <v>82.27</v>
      </c>
      <c r="T2360" s="26">
        <v>78.87</v>
      </c>
    </row>
    <row r="2361" spans="1:20" x14ac:dyDescent="0.35">
      <c r="A2361" s="7">
        <v>45825</v>
      </c>
      <c r="N2361" s="26">
        <v>74.64</v>
      </c>
      <c r="O2361" s="26"/>
      <c r="P2361" s="26">
        <v>76.62</v>
      </c>
      <c r="Q2361" s="26"/>
      <c r="R2361" s="26">
        <v>78.92</v>
      </c>
      <c r="S2361" s="26">
        <v>81.599999999999994</v>
      </c>
      <c r="T2361" s="26">
        <v>78.16</v>
      </c>
    </row>
    <row r="2362" spans="1:20" x14ac:dyDescent="0.35">
      <c r="A2362" s="7">
        <v>45826</v>
      </c>
      <c r="N2362" s="26">
        <v>74.61</v>
      </c>
      <c r="O2362" s="26"/>
      <c r="P2362" s="26">
        <v>76.599999999999994</v>
      </c>
      <c r="Q2362" s="26"/>
      <c r="R2362" s="26">
        <v>78.89</v>
      </c>
      <c r="S2362" s="26">
        <v>81.53</v>
      </c>
      <c r="T2362" s="26">
        <v>78.14</v>
      </c>
    </row>
    <row r="2363" spans="1:20" x14ac:dyDescent="0.35">
      <c r="A2363" s="7">
        <v>45827</v>
      </c>
      <c r="N2363" s="26">
        <v>72.489999999999995</v>
      </c>
      <c r="O2363" s="26"/>
      <c r="P2363" s="26">
        <v>74.69</v>
      </c>
      <c r="Q2363" s="26"/>
      <c r="R2363" s="26">
        <v>76.97</v>
      </c>
      <c r="S2363" s="26">
        <v>79.52</v>
      </c>
      <c r="T2363" s="26">
        <v>76.23</v>
      </c>
    </row>
    <row r="2364" spans="1:20" x14ac:dyDescent="0.35">
      <c r="A2364" s="7">
        <v>45828</v>
      </c>
      <c r="N2364" s="26">
        <v>72.97</v>
      </c>
      <c r="O2364" s="26"/>
      <c r="P2364" s="26">
        <v>74.92</v>
      </c>
      <c r="Q2364" s="26"/>
      <c r="R2364" s="26">
        <v>77.150000000000006</v>
      </c>
      <c r="S2364" s="26">
        <v>79.650000000000006</v>
      </c>
      <c r="T2364" s="26">
        <v>76.430000000000007</v>
      </c>
    </row>
    <row r="2365" spans="1:20" x14ac:dyDescent="0.35">
      <c r="A2365" s="7">
        <v>45829</v>
      </c>
      <c r="N2365" s="26">
        <v>72.97</v>
      </c>
      <c r="O2365" s="26"/>
      <c r="P2365" s="26">
        <v>74.92</v>
      </c>
      <c r="Q2365" s="26"/>
      <c r="R2365" s="26">
        <v>77.150000000000006</v>
      </c>
      <c r="S2365" s="26">
        <v>79.650000000000006</v>
      </c>
      <c r="T2365" s="26">
        <v>76.430000000000007</v>
      </c>
    </row>
    <row r="2366" spans="1:20" x14ac:dyDescent="0.35">
      <c r="A2366" s="7">
        <v>45830</v>
      </c>
      <c r="N2366" s="26">
        <v>72.97</v>
      </c>
      <c r="O2366" s="26"/>
      <c r="P2366" s="26">
        <v>74.92</v>
      </c>
      <c r="Q2366" s="26"/>
      <c r="R2366" s="26">
        <v>77.150000000000006</v>
      </c>
      <c r="S2366" s="26">
        <v>79.650000000000006</v>
      </c>
      <c r="T2366" s="26">
        <v>76.430000000000007</v>
      </c>
    </row>
    <row r="2367" spans="1:20" x14ac:dyDescent="0.35">
      <c r="A2367" s="7">
        <v>45831</v>
      </c>
      <c r="N2367" s="26">
        <v>73.27</v>
      </c>
      <c r="O2367" s="26"/>
      <c r="P2367" s="26">
        <v>75.22</v>
      </c>
      <c r="Q2367" s="26"/>
      <c r="R2367" s="26">
        <v>77.459999999999994</v>
      </c>
      <c r="S2367" s="26">
        <v>79.959999999999994</v>
      </c>
      <c r="T2367" s="26">
        <v>76.75</v>
      </c>
    </row>
    <row r="2368" spans="1:20" x14ac:dyDescent="0.35">
      <c r="A2368" s="7">
        <v>45832</v>
      </c>
      <c r="N2368" s="26">
        <v>73.540000000000006</v>
      </c>
      <c r="O2368" s="26"/>
      <c r="P2368" s="26">
        <v>75.790000000000006</v>
      </c>
      <c r="Q2368" s="26"/>
      <c r="R2368" s="26">
        <v>77.739999999999995</v>
      </c>
      <c r="S2368" s="26">
        <v>80.319999999999993</v>
      </c>
      <c r="T2368" s="26">
        <v>77.03</v>
      </c>
    </row>
    <row r="2369" spans="1:20" x14ac:dyDescent="0.35">
      <c r="A2369" s="7">
        <v>45833</v>
      </c>
      <c r="N2369" s="26">
        <v>71.150000000000006</v>
      </c>
      <c r="O2369" s="26"/>
      <c r="P2369" s="26">
        <v>73.03</v>
      </c>
      <c r="Q2369" s="26"/>
      <c r="R2369" s="26">
        <v>75.239999999999995</v>
      </c>
      <c r="S2369" s="26">
        <v>77.790000000000006</v>
      </c>
      <c r="T2369" s="26">
        <v>74.510000000000005</v>
      </c>
    </row>
    <row r="2370" spans="1:20" x14ac:dyDescent="0.35">
      <c r="A2370" s="7">
        <v>45834</v>
      </c>
      <c r="N2370" s="26">
        <v>70.400000000000006</v>
      </c>
      <c r="O2370" s="26"/>
      <c r="P2370" s="26">
        <v>72.239999999999995</v>
      </c>
      <c r="Q2370" s="26"/>
      <c r="R2370" s="26">
        <v>74.42</v>
      </c>
      <c r="S2370" s="26">
        <v>76.900000000000006</v>
      </c>
      <c r="T2370" s="26">
        <v>73.69</v>
      </c>
    </row>
    <row r="2371" spans="1:20" x14ac:dyDescent="0.35">
      <c r="A2371" s="7">
        <v>45835</v>
      </c>
      <c r="N2371" s="26">
        <v>70.959999999999994</v>
      </c>
      <c r="O2371" s="26"/>
      <c r="P2371" s="26">
        <v>72.81</v>
      </c>
      <c r="Q2371" s="26"/>
      <c r="R2371" s="26">
        <v>75</v>
      </c>
      <c r="S2371" s="26">
        <v>77.48</v>
      </c>
      <c r="T2371" s="26">
        <v>74.27</v>
      </c>
    </row>
    <row r="2372" spans="1:20" x14ac:dyDescent="0.35">
      <c r="A2372" s="7">
        <v>45836</v>
      </c>
      <c r="N2372" s="26">
        <v>70.959999999999994</v>
      </c>
      <c r="O2372" s="26"/>
      <c r="P2372" s="26">
        <v>72.81</v>
      </c>
      <c r="Q2372" s="26"/>
      <c r="R2372" s="26">
        <v>75</v>
      </c>
      <c r="S2372" s="26">
        <v>77.48</v>
      </c>
      <c r="T2372" s="26">
        <v>74.27</v>
      </c>
    </row>
    <row r="2373" spans="1:20" x14ac:dyDescent="0.35">
      <c r="A2373" s="7">
        <v>45837</v>
      </c>
      <c r="N2373" s="26">
        <v>70.959999999999994</v>
      </c>
      <c r="O2373" s="26"/>
      <c r="P2373" s="26">
        <v>72.81</v>
      </c>
      <c r="Q2373" s="26"/>
      <c r="R2373" s="26">
        <v>75</v>
      </c>
      <c r="S2373" s="26">
        <v>77.48</v>
      </c>
      <c r="T2373" s="26">
        <v>74.27</v>
      </c>
    </row>
    <row r="2374" spans="1:20" x14ac:dyDescent="0.35">
      <c r="A2374" s="7">
        <v>45838</v>
      </c>
      <c r="N2374" s="26">
        <v>68.97</v>
      </c>
      <c r="O2374" s="26"/>
      <c r="P2374" s="26">
        <v>70.78</v>
      </c>
      <c r="Q2374" s="26"/>
      <c r="R2374" s="26">
        <v>72.94</v>
      </c>
      <c r="S2374" s="26">
        <v>75.39</v>
      </c>
      <c r="T2374" s="26">
        <v>72.23</v>
      </c>
    </row>
    <row r="2375" spans="1:20" x14ac:dyDescent="0.35">
      <c r="A2375" s="7">
        <v>45839</v>
      </c>
      <c r="N2375" s="26">
        <v>70.58</v>
      </c>
      <c r="O2375" s="26"/>
      <c r="P2375" s="26">
        <v>72.42</v>
      </c>
      <c r="Q2375" s="26"/>
      <c r="R2375" s="26">
        <v>74.569999999999993</v>
      </c>
      <c r="S2375" s="26">
        <v>77.069999999999993</v>
      </c>
      <c r="T2375" s="26">
        <v>73.84</v>
      </c>
    </row>
    <row r="2376" spans="1:20" x14ac:dyDescent="0.35">
      <c r="A2376" s="7">
        <v>45840</v>
      </c>
      <c r="N2376" s="26">
        <v>71.930000000000007</v>
      </c>
      <c r="O2376" s="26"/>
      <c r="P2376" s="26">
        <v>73.78</v>
      </c>
      <c r="Q2376" s="26"/>
      <c r="R2376" s="26">
        <v>75.98</v>
      </c>
      <c r="S2376" s="26">
        <v>78.53</v>
      </c>
      <c r="T2376" s="26">
        <v>75.239999999999995</v>
      </c>
    </row>
    <row r="2377" spans="1:20" x14ac:dyDescent="0.35">
      <c r="A2377" s="7">
        <v>45841</v>
      </c>
      <c r="N2377" s="26">
        <v>72.06</v>
      </c>
      <c r="O2377" s="26"/>
      <c r="P2377" s="26">
        <v>73.92</v>
      </c>
      <c r="Q2377" s="26"/>
      <c r="R2377" s="26">
        <v>76.11</v>
      </c>
      <c r="S2377" s="26">
        <v>78.709999999999994</v>
      </c>
      <c r="T2377" s="26">
        <v>75.39</v>
      </c>
    </row>
    <row r="2378" spans="1:20" x14ac:dyDescent="0.35">
      <c r="A2378" s="7">
        <v>45842</v>
      </c>
      <c r="N2378" s="26">
        <v>71.67</v>
      </c>
      <c r="O2378" s="26"/>
      <c r="P2378" s="26">
        <v>73.510000000000005</v>
      </c>
      <c r="Q2378" s="26"/>
      <c r="R2378" s="26">
        <v>75.67</v>
      </c>
      <c r="S2378" s="26">
        <v>78.22</v>
      </c>
      <c r="T2378" s="26">
        <v>74.94</v>
      </c>
    </row>
    <row r="2379" spans="1:20" x14ac:dyDescent="0.35">
      <c r="A2379" s="7">
        <v>45843</v>
      </c>
      <c r="N2379" s="26">
        <v>71.67</v>
      </c>
      <c r="O2379" s="26"/>
      <c r="P2379" s="26">
        <v>73.510000000000005</v>
      </c>
      <c r="Q2379" s="26"/>
      <c r="R2379" s="26">
        <v>75.67</v>
      </c>
      <c r="S2379" s="26">
        <v>78.22</v>
      </c>
      <c r="T2379" s="26">
        <v>74.94</v>
      </c>
    </row>
    <row r="2380" spans="1:20" x14ac:dyDescent="0.35">
      <c r="A2380" s="7">
        <v>45844</v>
      </c>
      <c r="N2380" s="26">
        <v>71.67</v>
      </c>
      <c r="O2380" s="26"/>
      <c r="P2380" s="26">
        <v>73.510000000000005</v>
      </c>
      <c r="Q2380" s="26"/>
      <c r="R2380" s="26">
        <v>75.67</v>
      </c>
      <c r="S2380" s="26">
        <v>78.22</v>
      </c>
      <c r="T2380" s="26">
        <v>74.94</v>
      </c>
    </row>
    <row r="2381" spans="1:20" x14ac:dyDescent="0.35">
      <c r="A2381" s="7">
        <v>45845</v>
      </c>
      <c r="N2381" s="26">
        <v>71.2</v>
      </c>
      <c r="O2381" s="26"/>
      <c r="P2381" s="26">
        <v>73.03</v>
      </c>
      <c r="Q2381" s="26"/>
      <c r="R2381" s="26">
        <v>75.180000000000007</v>
      </c>
      <c r="S2381" s="26">
        <v>77.73</v>
      </c>
      <c r="T2381" s="26">
        <v>74.459999999999994</v>
      </c>
    </row>
    <row r="2382" spans="1:20" x14ac:dyDescent="0.35">
      <c r="A2382" s="7">
        <v>45846</v>
      </c>
      <c r="N2382" s="26">
        <v>70.42</v>
      </c>
      <c r="O2382" s="26"/>
      <c r="P2382" s="26">
        <v>72.27</v>
      </c>
      <c r="Q2382" s="26"/>
      <c r="R2382" s="26">
        <v>74.42</v>
      </c>
      <c r="S2382" s="26">
        <v>76.95</v>
      </c>
      <c r="T2382" s="26">
        <v>73.709999999999994</v>
      </c>
    </row>
    <row r="2383" spans="1:20" x14ac:dyDescent="0.35">
      <c r="A2383" s="7">
        <v>45847</v>
      </c>
      <c r="N2383" s="26">
        <v>70.39</v>
      </c>
      <c r="O2383" s="26"/>
      <c r="P2383" s="26">
        <v>72.23</v>
      </c>
      <c r="Q2383" s="26"/>
      <c r="R2383" s="26">
        <v>74.37</v>
      </c>
      <c r="S2383" s="26">
        <v>76.900000000000006</v>
      </c>
      <c r="T2383" s="26">
        <v>73.66</v>
      </c>
    </row>
    <row r="2384" spans="1:20" x14ac:dyDescent="0.35">
      <c r="A2384" s="7">
        <v>45848</v>
      </c>
      <c r="N2384" s="26">
        <v>70.739999999999995</v>
      </c>
      <c r="O2384" s="26"/>
      <c r="P2384" s="26">
        <v>72.59</v>
      </c>
      <c r="Q2384" s="26"/>
      <c r="R2384" s="26">
        <v>74.75</v>
      </c>
      <c r="S2384" s="26">
        <v>77.28</v>
      </c>
      <c r="T2384" s="26">
        <v>74.040000000000006</v>
      </c>
    </row>
    <row r="2385" spans="1:20" x14ac:dyDescent="0.35">
      <c r="A2385" s="7">
        <v>45849</v>
      </c>
      <c r="N2385" s="26">
        <v>70.55</v>
      </c>
      <c r="O2385" s="26"/>
      <c r="P2385" s="26">
        <v>72.400000000000006</v>
      </c>
      <c r="Q2385" s="26"/>
      <c r="R2385" s="26">
        <v>74.58</v>
      </c>
      <c r="S2385" s="26">
        <v>77.11</v>
      </c>
      <c r="T2385" s="26">
        <v>73.87</v>
      </c>
    </row>
    <row r="2386" spans="1:20" x14ac:dyDescent="0.35">
      <c r="A2386" s="7">
        <v>45850</v>
      </c>
      <c r="N2386" s="26">
        <v>70.55</v>
      </c>
      <c r="O2386" s="26"/>
      <c r="P2386" s="26">
        <v>72.400000000000006</v>
      </c>
      <c r="Q2386" s="26"/>
      <c r="R2386" s="26">
        <v>74.58</v>
      </c>
      <c r="S2386" s="26">
        <v>77.11</v>
      </c>
      <c r="T2386" s="26">
        <v>73.87</v>
      </c>
    </row>
    <row r="2387" spans="1:20" x14ac:dyDescent="0.35">
      <c r="A2387" s="7">
        <v>45851</v>
      </c>
      <c r="N2387" s="26">
        <v>70.55</v>
      </c>
      <c r="O2387" s="26"/>
      <c r="P2387" s="26">
        <v>72.400000000000006</v>
      </c>
      <c r="Q2387" s="26"/>
      <c r="R2387" s="26">
        <v>74.58</v>
      </c>
      <c r="S2387" s="26">
        <v>77.11</v>
      </c>
      <c r="T2387" s="26">
        <v>73.87</v>
      </c>
    </row>
    <row r="2388" spans="1:20" x14ac:dyDescent="0.35">
      <c r="A2388" s="7">
        <v>45852</v>
      </c>
      <c r="N2388" s="26">
        <v>70.42</v>
      </c>
      <c r="O2388" s="26"/>
      <c r="P2388" s="26">
        <v>72.27</v>
      </c>
      <c r="Q2388" s="26"/>
      <c r="R2388" s="26">
        <v>74.44</v>
      </c>
      <c r="S2388" s="26">
        <v>76.97</v>
      </c>
      <c r="T2388" s="26">
        <v>73.73</v>
      </c>
    </row>
    <row r="2389" spans="1:20" x14ac:dyDescent="0.35">
      <c r="A2389" s="7">
        <v>45853</v>
      </c>
      <c r="N2389" s="26">
        <v>71.510000000000005</v>
      </c>
      <c r="O2389" s="26"/>
      <c r="P2389" s="26">
        <v>73.36</v>
      </c>
      <c r="Q2389" s="26"/>
      <c r="R2389" s="26">
        <v>75.53</v>
      </c>
      <c r="S2389" s="26">
        <v>78.08</v>
      </c>
      <c r="T2389" s="26">
        <v>74.819999999999993</v>
      </c>
    </row>
    <row r="2390" spans="1:20" x14ac:dyDescent="0.35">
      <c r="A2390" s="7">
        <v>45854</v>
      </c>
      <c r="N2390" s="26">
        <v>71.31</v>
      </c>
      <c r="O2390" s="26"/>
      <c r="P2390" s="26">
        <v>73.16</v>
      </c>
      <c r="Q2390" s="26"/>
      <c r="R2390" s="26">
        <v>75.34</v>
      </c>
      <c r="S2390" s="26">
        <v>77.89</v>
      </c>
      <c r="T2390" s="26">
        <v>74.61</v>
      </c>
    </row>
    <row r="2391" spans="1:20" x14ac:dyDescent="0.35">
      <c r="A2391" s="7">
        <v>45855</v>
      </c>
      <c r="N2391" s="26">
        <v>70.55</v>
      </c>
      <c r="O2391" s="26"/>
      <c r="P2391" s="26">
        <v>72.38</v>
      </c>
      <c r="Q2391" s="26"/>
      <c r="R2391" s="26">
        <v>74.53</v>
      </c>
      <c r="S2391" s="26">
        <v>77.06</v>
      </c>
      <c r="T2391" s="26">
        <v>73.81</v>
      </c>
    </row>
    <row r="2392" spans="1:20" x14ac:dyDescent="0.35">
      <c r="A2392" s="7">
        <v>45856</v>
      </c>
      <c r="N2392" s="26">
        <v>69.89</v>
      </c>
      <c r="O2392" s="26"/>
      <c r="P2392" s="26">
        <v>71.72</v>
      </c>
      <c r="Q2392" s="26"/>
      <c r="R2392" s="26">
        <v>73.87</v>
      </c>
      <c r="S2392" s="26">
        <v>76.400000000000006</v>
      </c>
      <c r="T2392" s="26">
        <v>73.150000000000006</v>
      </c>
    </row>
    <row r="2393" spans="1:20" x14ac:dyDescent="0.35">
      <c r="A2393" s="7">
        <v>45857</v>
      </c>
      <c r="N2393" s="26">
        <v>69.89</v>
      </c>
      <c r="O2393" s="26"/>
      <c r="P2393" s="26">
        <v>71.72</v>
      </c>
      <c r="Q2393" s="26"/>
      <c r="R2393" s="26">
        <v>73.87</v>
      </c>
      <c r="S2393" s="26">
        <v>76.400000000000006</v>
      </c>
      <c r="T2393" s="26">
        <v>73.150000000000006</v>
      </c>
    </row>
    <row r="2394" spans="1:20" x14ac:dyDescent="0.35">
      <c r="A2394" s="7">
        <v>45858</v>
      </c>
      <c r="N2394" s="26">
        <v>69.89</v>
      </c>
      <c r="O2394" s="26"/>
      <c r="P2394" s="26">
        <v>71.72</v>
      </c>
      <c r="Q2394" s="26"/>
      <c r="R2394" s="26">
        <v>73.87</v>
      </c>
      <c r="S2394" s="26">
        <v>76.400000000000006</v>
      </c>
      <c r="T2394" s="26">
        <v>73.150000000000006</v>
      </c>
    </row>
    <row r="2395" spans="1:20" x14ac:dyDescent="0.35">
      <c r="A2395" s="7">
        <v>45859</v>
      </c>
      <c r="N2395" s="26">
        <v>69.83</v>
      </c>
      <c r="O2395" s="26"/>
      <c r="P2395" s="26">
        <v>71.66</v>
      </c>
      <c r="Q2395" s="26"/>
      <c r="R2395" s="26">
        <v>73.81</v>
      </c>
      <c r="S2395" s="26">
        <v>76.44</v>
      </c>
      <c r="T2395" s="26">
        <v>73.09</v>
      </c>
    </row>
    <row r="2396" spans="1:20" x14ac:dyDescent="0.35">
      <c r="A2396" s="7">
        <v>45860</v>
      </c>
      <c r="N2396" s="26">
        <v>69.11</v>
      </c>
      <c r="O2396" s="26"/>
      <c r="P2396" s="26">
        <v>70.900000000000006</v>
      </c>
      <c r="Q2396" s="26"/>
      <c r="R2396" s="26">
        <v>73.05</v>
      </c>
      <c r="S2396" s="26">
        <v>75.680000000000007</v>
      </c>
      <c r="T2396" s="26">
        <v>72.33</v>
      </c>
    </row>
    <row r="2397" spans="1:20" x14ac:dyDescent="0.35">
      <c r="A2397" s="7">
        <v>45861</v>
      </c>
      <c r="N2397" s="26">
        <v>69.36</v>
      </c>
      <c r="O2397" s="26"/>
      <c r="P2397" s="26">
        <v>71.16</v>
      </c>
      <c r="Q2397" s="26"/>
      <c r="R2397" s="26">
        <v>73.31</v>
      </c>
      <c r="S2397" s="26">
        <v>75.94</v>
      </c>
      <c r="T2397" s="26">
        <v>72.59</v>
      </c>
    </row>
    <row r="2398" spans="1:20" x14ac:dyDescent="0.35">
      <c r="A2398" s="7">
        <v>45862</v>
      </c>
      <c r="N2398" s="26">
        <v>70.88</v>
      </c>
      <c r="O2398" s="26"/>
      <c r="P2398" s="26">
        <v>72.72</v>
      </c>
      <c r="Q2398" s="26"/>
      <c r="R2398" s="26">
        <v>74.87</v>
      </c>
      <c r="S2398" s="26">
        <v>77.5</v>
      </c>
      <c r="T2398" s="26">
        <v>74.150000000000006</v>
      </c>
    </row>
    <row r="2399" spans="1:20" x14ac:dyDescent="0.35">
      <c r="A2399" s="7">
        <v>45863</v>
      </c>
      <c r="N2399" s="26">
        <v>71.34</v>
      </c>
      <c r="O2399" s="26"/>
      <c r="P2399" s="26">
        <v>73.209999999999994</v>
      </c>
      <c r="Q2399" s="26"/>
      <c r="R2399" s="26">
        <v>75.38</v>
      </c>
      <c r="S2399" s="26">
        <v>78.010000000000005</v>
      </c>
      <c r="T2399" s="26">
        <v>74.66</v>
      </c>
    </row>
    <row r="2400" spans="1:20" x14ac:dyDescent="0.35">
      <c r="A2400" s="7">
        <v>45864</v>
      </c>
      <c r="N2400" s="26">
        <v>71.34</v>
      </c>
      <c r="O2400" s="26"/>
      <c r="P2400" s="26">
        <v>73.209999999999994</v>
      </c>
      <c r="Q2400" s="26"/>
      <c r="R2400" s="26">
        <v>75.38</v>
      </c>
      <c r="S2400" s="26">
        <v>78.010000000000005</v>
      </c>
      <c r="T2400" s="26">
        <v>74.66</v>
      </c>
    </row>
    <row r="2401" spans="1:20" x14ac:dyDescent="0.35">
      <c r="A2401" s="7">
        <v>45865</v>
      </c>
      <c r="N2401" s="26">
        <v>71.34</v>
      </c>
      <c r="O2401" s="26"/>
      <c r="P2401" s="26">
        <v>73.209999999999994</v>
      </c>
      <c r="Q2401" s="26"/>
      <c r="R2401" s="26">
        <v>75.38</v>
      </c>
      <c r="S2401" s="26">
        <v>78.010000000000005</v>
      </c>
      <c r="T2401" s="26">
        <v>74.66</v>
      </c>
    </row>
    <row r="2402" spans="1:20" x14ac:dyDescent="0.35">
      <c r="A2402" s="7">
        <v>45866</v>
      </c>
      <c r="N2402" s="26">
        <v>70.650000000000006</v>
      </c>
      <c r="O2402" s="26"/>
      <c r="P2402" s="26">
        <v>72.52</v>
      </c>
      <c r="Q2402" s="26"/>
      <c r="R2402" s="26">
        <v>74.7</v>
      </c>
      <c r="S2402" s="26">
        <v>77.25</v>
      </c>
      <c r="T2402" s="26">
        <v>73.98</v>
      </c>
    </row>
    <row r="2403" spans="1:20" x14ac:dyDescent="0.35">
      <c r="A2403" s="7">
        <v>45867</v>
      </c>
      <c r="N2403" s="26">
        <v>73.08</v>
      </c>
      <c r="O2403" s="26"/>
      <c r="P2403" s="26">
        <v>74.989999999999995</v>
      </c>
      <c r="Q2403" s="26"/>
      <c r="R2403" s="26">
        <v>77.209999999999994</v>
      </c>
      <c r="S2403" s="26">
        <v>79.86</v>
      </c>
      <c r="T2403" s="26">
        <v>76.48</v>
      </c>
    </row>
    <row r="2404" spans="1:20" x14ac:dyDescent="0.35">
      <c r="A2404" s="7">
        <v>45868</v>
      </c>
      <c r="N2404" s="26">
        <v>72.86</v>
      </c>
      <c r="O2404" s="26"/>
      <c r="P2404" s="26">
        <v>74.790000000000006</v>
      </c>
      <c r="Q2404" s="26"/>
      <c r="R2404" s="26">
        <v>77.040000000000006</v>
      </c>
      <c r="S2404" s="26">
        <v>79.69</v>
      </c>
      <c r="T2404" s="26">
        <v>76.3</v>
      </c>
    </row>
    <row r="2405" spans="1:20" x14ac:dyDescent="0.35">
      <c r="A2405" s="7">
        <v>45869</v>
      </c>
      <c r="N2405" s="26">
        <v>72.66</v>
      </c>
      <c r="O2405" s="26"/>
      <c r="P2405" s="26">
        <v>74.599999999999994</v>
      </c>
      <c r="Q2405" s="26"/>
      <c r="R2405" s="26">
        <v>76.84</v>
      </c>
      <c r="S2405" s="26">
        <v>79.47</v>
      </c>
      <c r="T2405" s="26">
        <v>76.099999999999994</v>
      </c>
    </row>
    <row r="2406" spans="1:20" x14ac:dyDescent="0.35">
      <c r="A2406" s="7">
        <v>45870</v>
      </c>
      <c r="N2406" s="26">
        <v>71.040000000000006</v>
      </c>
      <c r="O2406" s="26"/>
      <c r="P2406" s="26">
        <v>72.95</v>
      </c>
      <c r="Q2406" s="26"/>
      <c r="R2406" s="26">
        <v>75.17</v>
      </c>
      <c r="S2406" s="26">
        <v>77.72</v>
      </c>
      <c r="T2406" s="26">
        <v>74.42</v>
      </c>
    </row>
    <row r="2407" spans="1:20" x14ac:dyDescent="0.35">
      <c r="A2407" s="7">
        <v>45871</v>
      </c>
      <c r="N2407" s="26">
        <v>71.040000000000006</v>
      </c>
      <c r="O2407" s="26"/>
      <c r="P2407" s="26">
        <v>72.95</v>
      </c>
      <c r="Q2407" s="26"/>
      <c r="R2407" s="26">
        <v>75.17</v>
      </c>
      <c r="S2407" s="26">
        <v>77.72</v>
      </c>
      <c r="T2407" s="26">
        <v>74.42</v>
      </c>
    </row>
    <row r="2408" spans="1:20" x14ac:dyDescent="0.35">
      <c r="A2408" s="7">
        <v>45872</v>
      </c>
      <c r="N2408" s="26">
        <v>71.040000000000006</v>
      </c>
      <c r="O2408" s="26"/>
      <c r="P2408" s="26">
        <v>72.95</v>
      </c>
      <c r="Q2408" s="26"/>
      <c r="R2408" s="26">
        <v>75.17</v>
      </c>
      <c r="S2408" s="26">
        <v>77.72</v>
      </c>
      <c r="T2408" s="26">
        <v>74.42</v>
      </c>
    </row>
    <row r="2409" spans="1:20" x14ac:dyDescent="0.35">
      <c r="A2409" s="7">
        <v>45873</v>
      </c>
      <c r="N2409" s="26">
        <v>70.849999999999994</v>
      </c>
      <c r="O2409" s="26"/>
      <c r="P2409" s="26">
        <v>72.75</v>
      </c>
      <c r="Q2409" s="26"/>
      <c r="R2409" s="26">
        <v>74.959999999999994</v>
      </c>
      <c r="S2409" s="26">
        <v>77.53</v>
      </c>
      <c r="T2409" s="26">
        <v>74.2</v>
      </c>
    </row>
    <row r="2410" spans="1:20" x14ac:dyDescent="0.35">
      <c r="A2410" s="7">
        <v>45874</v>
      </c>
      <c r="N2410" s="26">
        <v>71.59</v>
      </c>
      <c r="O2410" s="26"/>
      <c r="P2410" s="26">
        <v>73.489999999999995</v>
      </c>
      <c r="Q2410" s="26"/>
      <c r="R2410" s="26">
        <v>75.709999999999994</v>
      </c>
      <c r="S2410" s="26">
        <v>78.28</v>
      </c>
      <c r="T2410" s="26">
        <v>74.94</v>
      </c>
    </row>
    <row r="2411" spans="1:20" x14ac:dyDescent="0.35">
      <c r="A2411" s="7">
        <v>45875</v>
      </c>
      <c r="N2411" s="26">
        <v>70.989999999999995</v>
      </c>
      <c r="O2411" s="26"/>
      <c r="P2411" s="26">
        <v>72.88</v>
      </c>
      <c r="Q2411" s="26"/>
      <c r="R2411" s="26">
        <v>75.09</v>
      </c>
      <c r="S2411" s="26">
        <v>77.66</v>
      </c>
      <c r="T2411" s="26">
        <v>74.319999999999993</v>
      </c>
    </row>
    <row r="2412" spans="1:20" x14ac:dyDescent="0.35">
      <c r="A2412" s="7">
        <v>45876</v>
      </c>
      <c r="N2412" s="26">
        <v>71.77</v>
      </c>
      <c r="O2412" s="26"/>
      <c r="P2412" s="26">
        <v>73.67</v>
      </c>
      <c r="Q2412" s="26"/>
      <c r="R2412" s="26">
        <v>75.87</v>
      </c>
      <c r="S2412" s="26">
        <v>78.44</v>
      </c>
      <c r="T2412" s="26">
        <v>75.11</v>
      </c>
    </row>
    <row r="2413" spans="1:20" x14ac:dyDescent="0.35">
      <c r="A2413" s="7">
        <v>45877</v>
      </c>
      <c r="N2413" s="26">
        <v>73.209999999999994</v>
      </c>
      <c r="O2413" s="26"/>
      <c r="P2413" s="26">
        <v>75.150000000000006</v>
      </c>
      <c r="Q2413" s="26"/>
      <c r="R2413" s="26">
        <v>77.400000000000006</v>
      </c>
      <c r="S2413" s="26">
        <v>79.97</v>
      </c>
      <c r="T2413" s="26">
        <v>76.62</v>
      </c>
    </row>
    <row r="2414" spans="1:20" x14ac:dyDescent="0.35">
      <c r="A2414" s="7">
        <v>45878</v>
      </c>
      <c r="N2414" s="26">
        <v>73.209999999999994</v>
      </c>
      <c r="O2414" s="26"/>
      <c r="P2414" s="26">
        <v>75.150000000000006</v>
      </c>
      <c r="Q2414" s="26"/>
      <c r="R2414" s="26">
        <v>77.400000000000006</v>
      </c>
      <c r="S2414" s="26">
        <v>79.97</v>
      </c>
      <c r="T2414" s="26">
        <v>76.62</v>
      </c>
    </row>
    <row r="2415" spans="1:20" x14ac:dyDescent="0.35">
      <c r="A2415" s="7">
        <v>45879</v>
      </c>
      <c r="N2415" s="26">
        <v>73.209999999999994</v>
      </c>
      <c r="O2415" s="26"/>
      <c r="P2415" s="26">
        <v>75.150000000000006</v>
      </c>
      <c r="Q2415" s="26"/>
      <c r="R2415" s="26">
        <v>77.400000000000006</v>
      </c>
      <c r="S2415" s="26">
        <v>79.97</v>
      </c>
      <c r="T2415" s="26">
        <v>76.62</v>
      </c>
    </row>
    <row r="2416" spans="1:20" x14ac:dyDescent="0.35">
      <c r="A2416" s="7">
        <v>45880</v>
      </c>
      <c r="N2416" s="26">
        <v>72.37</v>
      </c>
      <c r="O2416" s="26"/>
      <c r="P2416" s="26">
        <v>74.3</v>
      </c>
      <c r="Q2416" s="26"/>
      <c r="R2416" s="26">
        <v>76.540000000000006</v>
      </c>
      <c r="S2416" s="26">
        <v>79.11</v>
      </c>
      <c r="T2416" s="26">
        <v>75.78</v>
      </c>
    </row>
    <row r="2417" spans="1:20" x14ac:dyDescent="0.35">
      <c r="A2417" s="7">
        <v>45881</v>
      </c>
      <c r="N2417" s="26">
        <v>71.5</v>
      </c>
      <c r="O2417" s="26"/>
      <c r="P2417" s="26">
        <v>73.430000000000007</v>
      </c>
      <c r="Q2417" s="26"/>
      <c r="R2417" s="26">
        <v>75.650000000000006</v>
      </c>
      <c r="S2417" s="26">
        <v>78.27</v>
      </c>
      <c r="T2417" s="26">
        <v>74.91</v>
      </c>
    </row>
    <row r="2418" spans="1:20" x14ac:dyDescent="0.35">
      <c r="A2418" s="7">
        <v>45882</v>
      </c>
      <c r="N2418" s="26">
        <v>71.739999999999995</v>
      </c>
      <c r="O2418" s="26"/>
      <c r="P2418" s="26">
        <v>73.67</v>
      </c>
      <c r="Q2418" s="26"/>
      <c r="R2418" s="26">
        <v>75.87</v>
      </c>
      <c r="S2418" s="26">
        <v>78.430000000000007</v>
      </c>
      <c r="T2418" s="26">
        <v>75.150000000000006</v>
      </c>
    </row>
    <row r="2419" spans="1:20" x14ac:dyDescent="0.35">
      <c r="A2419" s="7">
        <v>45883</v>
      </c>
      <c r="N2419" s="26">
        <v>70.959999999999994</v>
      </c>
      <c r="O2419" s="26"/>
      <c r="P2419" s="26">
        <v>72.87</v>
      </c>
      <c r="Q2419" s="26"/>
      <c r="R2419" s="26">
        <v>75.069999999999993</v>
      </c>
      <c r="S2419" s="26">
        <v>77.62</v>
      </c>
      <c r="T2419" s="26">
        <v>74.34</v>
      </c>
    </row>
    <row r="2420" spans="1:20" x14ac:dyDescent="0.35">
      <c r="A2420" s="7">
        <v>45884</v>
      </c>
      <c r="N2420" s="26">
        <v>70.680000000000007</v>
      </c>
      <c r="O2420" s="26"/>
      <c r="P2420" s="26">
        <v>72.599999999999994</v>
      </c>
      <c r="Q2420" s="26"/>
      <c r="R2420" s="26">
        <v>74.81</v>
      </c>
      <c r="S2420" s="26">
        <v>77.37</v>
      </c>
      <c r="T2420" s="26">
        <v>74.08</v>
      </c>
    </row>
    <row r="2421" spans="1:20" x14ac:dyDescent="0.35">
      <c r="A2421" s="7">
        <v>45885</v>
      </c>
      <c r="N2421" s="26">
        <v>70.680000000000007</v>
      </c>
      <c r="O2421" s="26"/>
      <c r="P2421" s="26">
        <v>72.599999999999994</v>
      </c>
      <c r="Q2421" s="26"/>
      <c r="R2421" s="26">
        <v>74.81</v>
      </c>
      <c r="S2421" s="26">
        <v>77.37</v>
      </c>
      <c r="T2421" s="26">
        <v>74.08</v>
      </c>
    </row>
    <row r="2422" spans="1:20" x14ac:dyDescent="0.35">
      <c r="A2422" s="7">
        <v>45886</v>
      </c>
      <c r="N2422" s="26">
        <v>70.680000000000007</v>
      </c>
      <c r="O2422" s="26"/>
      <c r="P2422" s="26">
        <v>72.599999999999994</v>
      </c>
      <c r="Q2422" s="26"/>
      <c r="R2422" s="26">
        <v>74.81</v>
      </c>
      <c r="S2422" s="26">
        <v>77.37</v>
      </c>
      <c r="T2422" s="26">
        <v>74.08</v>
      </c>
    </row>
    <row r="2423" spans="1:20" x14ac:dyDescent="0.35">
      <c r="A2423" s="7">
        <v>45887</v>
      </c>
      <c r="N2423" s="26">
        <v>71.819999999999993</v>
      </c>
      <c r="O2423" s="26"/>
      <c r="P2423" s="26">
        <v>73.75</v>
      </c>
      <c r="Q2423" s="26"/>
      <c r="R2423" s="26">
        <v>75.989999999999995</v>
      </c>
      <c r="S2423" s="26">
        <v>78.59</v>
      </c>
      <c r="T2423" s="26">
        <v>75.25</v>
      </c>
    </row>
    <row r="2424" spans="1:20" x14ac:dyDescent="0.35">
      <c r="A2424" s="7">
        <v>45888</v>
      </c>
      <c r="N2424" s="26">
        <v>71.16</v>
      </c>
      <c r="O2424" s="26"/>
      <c r="P2424" s="26">
        <v>73.08</v>
      </c>
      <c r="Q2424" s="26"/>
      <c r="R2424" s="26">
        <v>75.31</v>
      </c>
      <c r="S2424" s="26">
        <v>77.88</v>
      </c>
      <c r="T2424" s="26">
        <v>74.58</v>
      </c>
    </row>
    <row r="2425" spans="1:20" x14ac:dyDescent="0.35">
      <c r="A2425" s="7">
        <v>45889</v>
      </c>
      <c r="N2425" s="26">
        <v>71.290000000000006</v>
      </c>
      <c r="O2425" s="26"/>
      <c r="P2425" s="26">
        <v>73.2</v>
      </c>
      <c r="Q2425" s="26"/>
      <c r="R2425" s="26">
        <v>75.430000000000007</v>
      </c>
      <c r="S2425" s="26">
        <v>77.95</v>
      </c>
      <c r="T2425" s="26">
        <v>74.7</v>
      </c>
    </row>
    <row r="2426" spans="1:20" x14ac:dyDescent="0.35">
      <c r="A2426" s="7">
        <v>45890</v>
      </c>
      <c r="N2426" s="26">
        <v>72.62</v>
      </c>
      <c r="O2426" s="26"/>
      <c r="P2426" s="26">
        <v>74.55</v>
      </c>
      <c r="Q2426" s="26"/>
      <c r="R2426" s="26">
        <v>76.8</v>
      </c>
      <c r="S2426" s="26">
        <v>79.37</v>
      </c>
      <c r="T2426" s="26">
        <v>76.06</v>
      </c>
    </row>
    <row r="2427" spans="1:20" x14ac:dyDescent="0.35">
      <c r="A2427" s="7">
        <v>45891</v>
      </c>
      <c r="N2427" s="26">
        <v>72.53</v>
      </c>
      <c r="O2427" s="26"/>
      <c r="P2427" s="26">
        <v>74.47</v>
      </c>
      <c r="Q2427" s="26"/>
      <c r="R2427" s="26">
        <v>76.69</v>
      </c>
      <c r="S2427" s="26">
        <v>79.25</v>
      </c>
      <c r="T2427" s="26">
        <v>75.97</v>
      </c>
    </row>
    <row r="2428" spans="1:20" x14ac:dyDescent="0.35">
      <c r="A2428" s="7">
        <v>45892</v>
      </c>
      <c r="N2428" s="26">
        <v>72.53</v>
      </c>
      <c r="O2428" s="26"/>
      <c r="P2428" s="26">
        <v>74.47</v>
      </c>
      <c r="Q2428" s="26"/>
      <c r="R2428" s="26">
        <v>76.69</v>
      </c>
      <c r="S2428" s="26">
        <v>79.25</v>
      </c>
      <c r="T2428" s="26">
        <v>75.97</v>
      </c>
    </row>
    <row r="2429" spans="1:20" x14ac:dyDescent="0.35">
      <c r="A2429" s="7">
        <v>45893</v>
      </c>
      <c r="N2429" s="26">
        <v>72.53</v>
      </c>
      <c r="O2429" s="26"/>
      <c r="P2429" s="26">
        <v>74.47</v>
      </c>
      <c r="Q2429" s="26"/>
      <c r="R2429" s="26">
        <v>76.69</v>
      </c>
      <c r="S2429" s="26">
        <v>79.25</v>
      </c>
      <c r="T2429" s="26">
        <v>75.97</v>
      </c>
    </row>
    <row r="2430" spans="1:20" x14ac:dyDescent="0.35">
      <c r="A2430" s="7">
        <v>45894</v>
      </c>
      <c r="N2430" s="26">
        <v>72.19</v>
      </c>
      <c r="O2430" s="26"/>
      <c r="P2430" s="26">
        <v>74.14</v>
      </c>
      <c r="Q2430" s="26"/>
      <c r="R2430" s="26">
        <v>76.36</v>
      </c>
      <c r="S2430" s="26">
        <v>78.98</v>
      </c>
      <c r="T2430" s="26">
        <v>75.67</v>
      </c>
    </row>
    <row r="2431" spans="1:20" x14ac:dyDescent="0.35">
      <c r="A2431" s="7">
        <v>45895</v>
      </c>
      <c r="N2431" s="26">
        <v>72.75</v>
      </c>
      <c r="O2431" s="26"/>
      <c r="P2431" s="26">
        <v>74.69</v>
      </c>
      <c r="Q2431" s="26"/>
      <c r="R2431" s="26">
        <v>76.900000000000006</v>
      </c>
      <c r="S2431" s="26">
        <v>79.47</v>
      </c>
      <c r="T2431" s="26">
        <v>76.209999999999994</v>
      </c>
    </row>
    <row r="2432" spans="1:20" x14ac:dyDescent="0.35">
      <c r="A2432" s="7">
        <v>45896</v>
      </c>
      <c r="N2432" s="26">
        <v>72.239999999999995</v>
      </c>
      <c r="O2432" s="26"/>
      <c r="P2432" s="26">
        <v>74.16</v>
      </c>
      <c r="Q2432" s="26"/>
      <c r="R2432" s="26">
        <v>76.36</v>
      </c>
      <c r="S2432" s="26">
        <v>78.89</v>
      </c>
      <c r="T2432" s="26">
        <v>75.680000000000007</v>
      </c>
    </row>
    <row r="2433" spans="1:20" x14ac:dyDescent="0.35">
      <c r="A2433" s="7">
        <v>45897</v>
      </c>
      <c r="N2433" s="26">
        <v>71.72</v>
      </c>
      <c r="O2433" s="26"/>
      <c r="P2433" s="26">
        <v>73.63</v>
      </c>
      <c r="Q2433" s="26"/>
      <c r="R2433" s="26">
        <v>75.83</v>
      </c>
      <c r="S2433" s="26">
        <v>78.33</v>
      </c>
      <c r="T2433" s="26">
        <v>75.14</v>
      </c>
    </row>
    <row r="2434" spans="1:20" x14ac:dyDescent="0.35">
      <c r="A2434" s="7">
        <v>45898</v>
      </c>
      <c r="N2434" s="26">
        <v>72.989999999999995</v>
      </c>
      <c r="O2434" s="26"/>
      <c r="P2434" s="26">
        <v>74.900000000000006</v>
      </c>
      <c r="Q2434" s="26"/>
      <c r="R2434" s="26">
        <v>77.12</v>
      </c>
      <c r="S2434" s="26">
        <v>79.64</v>
      </c>
      <c r="T2434" s="26">
        <v>76.400000000000006</v>
      </c>
    </row>
    <row r="2435" spans="1:20" x14ac:dyDescent="0.35">
      <c r="A2435" s="7">
        <v>45899</v>
      </c>
      <c r="N2435" s="26">
        <v>72.989999999999995</v>
      </c>
      <c r="O2435" s="26"/>
      <c r="P2435" s="26">
        <v>74.900000000000006</v>
      </c>
      <c r="Q2435" s="26"/>
      <c r="R2435" s="26">
        <v>77.12</v>
      </c>
      <c r="S2435" s="26">
        <v>79.64</v>
      </c>
      <c r="T2435" s="26">
        <v>76.400000000000006</v>
      </c>
    </row>
    <row r="2436" spans="1:20" x14ac:dyDescent="0.35">
      <c r="A2436" s="7">
        <v>45900</v>
      </c>
      <c r="N2436" s="26">
        <v>72.989999999999995</v>
      </c>
      <c r="O2436" s="26"/>
      <c r="P2436" s="26">
        <v>74.900000000000006</v>
      </c>
      <c r="Q2436" s="26"/>
      <c r="R2436" s="26">
        <v>77.12</v>
      </c>
      <c r="S2436" s="26">
        <v>79.64</v>
      </c>
      <c r="T2436" s="26">
        <v>76.400000000000006</v>
      </c>
    </row>
    <row r="2437" spans="1:20" x14ac:dyDescent="0.35">
      <c r="A2437" s="7">
        <v>45901</v>
      </c>
      <c r="N2437" s="26">
        <v>73.97</v>
      </c>
      <c r="O2437" s="26"/>
      <c r="P2437" s="26">
        <v>75.91</v>
      </c>
      <c r="Q2437" s="26"/>
      <c r="R2437" s="26">
        <v>78.150000000000006</v>
      </c>
      <c r="S2437" s="26">
        <v>80.709999999999994</v>
      </c>
      <c r="T2437" s="26">
        <v>77.41</v>
      </c>
    </row>
    <row r="2438" spans="1:20" x14ac:dyDescent="0.35">
      <c r="A2438" s="7">
        <v>45902</v>
      </c>
      <c r="N2438" s="26">
        <v>73.61</v>
      </c>
      <c r="O2438" s="26"/>
      <c r="P2438" s="26">
        <v>75.55</v>
      </c>
      <c r="Q2438" s="26"/>
      <c r="R2438" s="26">
        <v>77.790000000000006</v>
      </c>
      <c r="S2438" s="26">
        <v>80.38</v>
      </c>
      <c r="T2438" s="26">
        <v>77.05</v>
      </c>
    </row>
    <row r="2439" spans="1:20" x14ac:dyDescent="0.35">
      <c r="A2439" s="7">
        <v>45903</v>
      </c>
      <c r="N2439" s="26">
        <v>74.95</v>
      </c>
      <c r="O2439" s="26"/>
      <c r="P2439" s="26">
        <v>76.89</v>
      </c>
      <c r="Q2439" s="26"/>
      <c r="R2439" s="26">
        <v>79.13</v>
      </c>
      <c r="S2439" s="26">
        <v>81.73</v>
      </c>
      <c r="T2439" s="26">
        <v>78.39</v>
      </c>
    </row>
    <row r="2440" spans="1:20" x14ac:dyDescent="0.35">
      <c r="A2440" s="7">
        <v>45904</v>
      </c>
      <c r="N2440" s="26">
        <v>75.44</v>
      </c>
      <c r="O2440" s="26"/>
      <c r="P2440" s="26">
        <v>77.400000000000006</v>
      </c>
      <c r="Q2440" s="26"/>
      <c r="R2440" s="26">
        <v>79.650000000000006</v>
      </c>
      <c r="S2440" s="26">
        <v>82.32</v>
      </c>
      <c r="T2440" s="26">
        <v>78.92</v>
      </c>
    </row>
    <row r="2441" spans="1:20" x14ac:dyDescent="0.35">
      <c r="A2441" s="7">
        <v>45905</v>
      </c>
      <c r="N2441" s="26">
        <v>76.040000000000006</v>
      </c>
      <c r="O2441" s="26"/>
      <c r="P2441" s="26">
        <v>78.02</v>
      </c>
      <c r="Q2441" s="26"/>
      <c r="R2441" s="26">
        <v>80.3</v>
      </c>
      <c r="S2441" s="26">
        <v>82.89</v>
      </c>
      <c r="T2441" s="26">
        <v>79.55</v>
      </c>
    </row>
    <row r="2442" spans="1:20" x14ac:dyDescent="0.35">
      <c r="A2442" s="7">
        <v>45906</v>
      </c>
      <c r="N2442" s="26">
        <v>76.040000000000006</v>
      </c>
      <c r="O2442" s="26"/>
      <c r="P2442" s="26">
        <v>78.02</v>
      </c>
      <c r="Q2442" s="26"/>
      <c r="R2442" s="26">
        <v>80.3</v>
      </c>
      <c r="S2442" s="26">
        <v>82.89</v>
      </c>
      <c r="T2442" s="26">
        <v>79.55</v>
      </c>
    </row>
    <row r="2443" spans="1:20" x14ac:dyDescent="0.35">
      <c r="A2443" s="7">
        <v>45907</v>
      </c>
      <c r="N2443" s="26">
        <v>76.040000000000006</v>
      </c>
      <c r="O2443" s="26"/>
      <c r="P2443" s="26">
        <v>78.02</v>
      </c>
      <c r="Q2443" s="26"/>
      <c r="R2443" s="26">
        <v>80.3</v>
      </c>
      <c r="S2443" s="26">
        <v>82.89</v>
      </c>
      <c r="T2443" s="26">
        <v>79.55</v>
      </c>
    </row>
    <row r="2444" spans="1:20" x14ac:dyDescent="0.35">
      <c r="A2444" s="7">
        <v>45908</v>
      </c>
      <c r="N2444" s="26">
        <v>77.17</v>
      </c>
      <c r="O2444" s="26"/>
      <c r="P2444" s="26">
        <v>79.16</v>
      </c>
      <c r="Q2444" s="26"/>
      <c r="R2444" s="26">
        <v>81.42</v>
      </c>
      <c r="S2444" s="26">
        <v>84</v>
      </c>
      <c r="T2444" s="26">
        <v>80.680000000000007</v>
      </c>
    </row>
    <row r="2445" spans="1:20" x14ac:dyDescent="0.35">
      <c r="A2445" s="7">
        <v>45909</v>
      </c>
      <c r="N2445" s="26">
        <v>76.900000000000006</v>
      </c>
      <c r="O2445" s="26"/>
      <c r="P2445" s="26">
        <v>78.900000000000006</v>
      </c>
      <c r="Q2445" s="26"/>
      <c r="R2445" s="26">
        <v>81.14</v>
      </c>
      <c r="S2445" s="26">
        <v>83.72</v>
      </c>
      <c r="T2445" s="26">
        <v>80.42</v>
      </c>
    </row>
    <row r="2446" spans="1:20" x14ac:dyDescent="0.35">
      <c r="A2446" s="7">
        <v>45910</v>
      </c>
      <c r="N2446" s="26">
        <v>77.099999999999994</v>
      </c>
      <c r="O2446" s="26"/>
      <c r="P2446" s="26">
        <v>79.08</v>
      </c>
      <c r="Q2446" s="26"/>
      <c r="R2446" s="26">
        <v>81.34</v>
      </c>
      <c r="S2446" s="26">
        <v>83.92</v>
      </c>
      <c r="T2446" s="26">
        <v>80.599999999999994</v>
      </c>
    </row>
    <row r="2447" spans="1:20" x14ac:dyDescent="0.35">
      <c r="A2447" s="7">
        <v>45911</v>
      </c>
      <c r="N2447" s="26">
        <v>75.540000000000006</v>
      </c>
      <c r="O2447" s="26"/>
      <c r="P2447" s="26">
        <v>77.53</v>
      </c>
      <c r="Q2447" s="26"/>
      <c r="R2447" s="26">
        <v>79.55</v>
      </c>
      <c r="S2447" s="26">
        <v>82.25</v>
      </c>
      <c r="T2447" s="26">
        <v>79.02</v>
      </c>
    </row>
    <row r="2448" spans="1:20" x14ac:dyDescent="0.35">
      <c r="A2448" s="7">
        <v>45912</v>
      </c>
      <c r="N2448" s="26">
        <v>75.77</v>
      </c>
      <c r="O2448" s="26"/>
      <c r="P2448" s="26">
        <v>77.77</v>
      </c>
      <c r="Q2448" s="26"/>
      <c r="R2448" s="26">
        <v>80.03</v>
      </c>
      <c r="S2448" s="26">
        <v>82.2</v>
      </c>
      <c r="T2448" s="26">
        <v>79.3</v>
      </c>
    </row>
    <row r="2449" spans="1:20" x14ac:dyDescent="0.35">
      <c r="A2449" s="7">
        <v>45913</v>
      </c>
      <c r="N2449" s="26">
        <v>75.77</v>
      </c>
      <c r="O2449" s="26"/>
      <c r="P2449" s="26">
        <v>77.77</v>
      </c>
      <c r="Q2449" s="26"/>
      <c r="R2449" s="26">
        <v>80.03</v>
      </c>
      <c r="S2449" s="26">
        <v>82.2</v>
      </c>
      <c r="T2449" s="26">
        <v>79.3</v>
      </c>
    </row>
    <row r="2450" spans="1:20" x14ac:dyDescent="0.35">
      <c r="A2450" s="7">
        <v>45914</v>
      </c>
      <c r="N2450" s="26">
        <v>75.77</v>
      </c>
      <c r="O2450" s="26"/>
      <c r="P2450" s="26">
        <v>77.77</v>
      </c>
      <c r="Q2450" s="26"/>
      <c r="R2450" s="26">
        <v>80.03</v>
      </c>
      <c r="S2450" s="26">
        <v>82.2</v>
      </c>
      <c r="T2450" s="26">
        <v>79.3</v>
      </c>
    </row>
    <row r="2451" spans="1:20" x14ac:dyDescent="0.35">
      <c r="A2451" s="7">
        <v>45915</v>
      </c>
      <c r="N2451" s="26">
        <v>76.75</v>
      </c>
      <c r="O2451" s="26"/>
      <c r="P2451" s="26">
        <v>78.75</v>
      </c>
      <c r="Q2451" s="26"/>
      <c r="R2451" s="26">
        <v>81.040000000000006</v>
      </c>
      <c r="S2451" s="26">
        <v>83.55</v>
      </c>
      <c r="T2451" s="26">
        <v>80.3</v>
      </c>
    </row>
    <row r="2452" spans="1:20" x14ac:dyDescent="0.35">
      <c r="A2452" s="7">
        <v>45916</v>
      </c>
      <c r="N2452" s="26">
        <v>77.510000000000005</v>
      </c>
      <c r="O2452" s="26"/>
      <c r="P2452" s="26">
        <v>79.52</v>
      </c>
      <c r="Q2452" s="26"/>
      <c r="R2452" s="26">
        <v>81.8</v>
      </c>
      <c r="S2452" s="26">
        <v>84.3</v>
      </c>
      <c r="T2452" s="26">
        <v>81.8</v>
      </c>
    </row>
    <row r="2453" spans="1:20" x14ac:dyDescent="0.35">
      <c r="A2453" s="7">
        <v>45917</v>
      </c>
      <c r="N2453" s="26">
        <v>76.98</v>
      </c>
      <c r="O2453" s="26"/>
      <c r="P2453" s="26">
        <v>78.989999999999995</v>
      </c>
      <c r="Q2453" s="26"/>
      <c r="R2453" s="26">
        <v>81.290000000000006</v>
      </c>
      <c r="S2453" s="26">
        <v>83.81</v>
      </c>
      <c r="T2453" s="26">
        <v>80.53</v>
      </c>
    </row>
    <row r="2454" spans="1:20" x14ac:dyDescent="0.35">
      <c r="A2454" s="7">
        <v>45918</v>
      </c>
      <c r="N2454" s="26">
        <v>77.84</v>
      </c>
      <c r="O2454" s="26"/>
      <c r="P2454" s="26">
        <v>79.86</v>
      </c>
      <c r="Q2454" s="26"/>
      <c r="R2454" s="26">
        <v>82.16</v>
      </c>
      <c r="S2454" s="26">
        <v>84.72</v>
      </c>
      <c r="T2454" s="26">
        <v>81.39</v>
      </c>
    </row>
    <row r="2455" spans="1:20" x14ac:dyDescent="0.35">
      <c r="A2455" s="7">
        <v>45919</v>
      </c>
      <c r="N2455" s="26">
        <v>77.84</v>
      </c>
      <c r="O2455" s="26"/>
      <c r="P2455" s="26">
        <v>79.86</v>
      </c>
      <c r="Q2455" s="26"/>
      <c r="R2455" s="26">
        <v>82.16</v>
      </c>
      <c r="S2455" s="26">
        <v>84.72</v>
      </c>
      <c r="T2455" s="26">
        <v>81.39</v>
      </c>
    </row>
    <row r="2456" spans="1:20" x14ac:dyDescent="0.35">
      <c r="A2456" s="7">
        <v>45920</v>
      </c>
      <c r="N2456" s="26">
        <v>77.84</v>
      </c>
      <c r="O2456" s="26"/>
      <c r="P2456" s="26">
        <v>79.86</v>
      </c>
      <c r="Q2456" s="26"/>
      <c r="R2456" s="26">
        <v>82.16</v>
      </c>
      <c r="S2456" s="26">
        <v>84.72</v>
      </c>
      <c r="T2456" s="26">
        <v>81.39</v>
      </c>
    </row>
    <row r="2457" spans="1:20" x14ac:dyDescent="0.35">
      <c r="A2457" s="7">
        <v>45921</v>
      </c>
      <c r="N2457" s="26">
        <v>77.55</v>
      </c>
      <c r="O2457" s="26"/>
      <c r="P2457" s="26">
        <v>79.59</v>
      </c>
      <c r="Q2457" s="26"/>
      <c r="R2457" s="26">
        <v>81.88</v>
      </c>
      <c r="S2457" s="26">
        <v>84.42</v>
      </c>
      <c r="T2457" s="26">
        <v>81.12</v>
      </c>
    </row>
    <row r="2458" spans="1:20" x14ac:dyDescent="0.35">
      <c r="A2458" s="7">
        <v>45922</v>
      </c>
      <c r="N2458" s="26">
        <v>76.209999999999994</v>
      </c>
      <c r="O2458" s="26"/>
      <c r="P2458" s="26">
        <v>78.239999999999995</v>
      </c>
      <c r="Q2458" s="26"/>
      <c r="R2458" s="26">
        <v>80.510000000000005</v>
      </c>
      <c r="S2458" s="26">
        <v>83.06</v>
      </c>
      <c r="T2458" s="26">
        <v>79.77</v>
      </c>
    </row>
    <row r="2459" spans="1:20" x14ac:dyDescent="0.35">
      <c r="A2459" s="7">
        <v>45923</v>
      </c>
      <c r="N2459" s="26">
        <v>76.790000000000006</v>
      </c>
      <c r="O2459" s="26"/>
      <c r="P2459" s="26">
        <v>78.819999999999993</v>
      </c>
      <c r="Q2459" s="26"/>
      <c r="R2459" s="26">
        <v>81.11</v>
      </c>
      <c r="S2459" s="26">
        <v>83.72</v>
      </c>
      <c r="T2459" s="26">
        <v>80.37</v>
      </c>
    </row>
    <row r="2460" spans="1:20" x14ac:dyDescent="0.35">
      <c r="A2460" s="7">
        <v>45924</v>
      </c>
      <c r="N2460" s="26">
        <v>76.02</v>
      </c>
      <c r="O2460" s="26"/>
      <c r="P2460" s="26">
        <v>78.05</v>
      </c>
      <c r="Q2460" s="26"/>
      <c r="R2460" s="26">
        <v>80.33</v>
      </c>
      <c r="S2460" s="26">
        <v>82.93</v>
      </c>
      <c r="T2460" s="26">
        <v>79.58</v>
      </c>
    </row>
    <row r="2461" spans="1:20" x14ac:dyDescent="0.35">
      <c r="A2461" s="7">
        <v>45925</v>
      </c>
      <c r="N2461" s="26">
        <v>75.760000000000005</v>
      </c>
      <c r="O2461" s="26"/>
      <c r="P2461" s="26">
        <v>77.78</v>
      </c>
      <c r="Q2461" s="26"/>
      <c r="R2461" s="26">
        <v>80.05</v>
      </c>
      <c r="S2461" s="26">
        <v>82.63</v>
      </c>
      <c r="T2461" s="26">
        <v>79.31</v>
      </c>
    </row>
    <row r="2462" spans="1:20" x14ac:dyDescent="0.35">
      <c r="A2462" s="7">
        <v>45926</v>
      </c>
      <c r="N2462" s="26">
        <v>75.98</v>
      </c>
      <c r="O2462" s="26"/>
      <c r="P2462" s="26">
        <v>78</v>
      </c>
      <c r="Q2462" s="26"/>
      <c r="R2462" s="26">
        <v>80.27</v>
      </c>
      <c r="S2462" s="26">
        <v>82.84</v>
      </c>
      <c r="T2462" s="26">
        <v>79.53</v>
      </c>
    </row>
    <row r="2463" spans="1:20" x14ac:dyDescent="0.35">
      <c r="A2463" s="7">
        <v>45927</v>
      </c>
      <c r="N2463" s="26">
        <v>75.98</v>
      </c>
      <c r="O2463" s="26"/>
      <c r="P2463" s="26">
        <v>78</v>
      </c>
      <c r="Q2463" s="26"/>
      <c r="R2463" s="26">
        <v>80.27</v>
      </c>
      <c r="S2463" s="26">
        <v>82.84</v>
      </c>
      <c r="T2463" s="26">
        <v>79.53</v>
      </c>
    </row>
    <row r="2464" spans="1:20" x14ac:dyDescent="0.35">
      <c r="A2464" s="7">
        <v>45928</v>
      </c>
      <c r="N2464" s="26">
        <v>75.98</v>
      </c>
      <c r="O2464" s="26"/>
      <c r="P2464" s="26">
        <v>78</v>
      </c>
      <c r="Q2464" s="26"/>
      <c r="R2464" s="26">
        <v>80.27</v>
      </c>
      <c r="S2464" s="26">
        <v>82.84</v>
      </c>
      <c r="T2464" s="26">
        <v>79.53</v>
      </c>
    </row>
    <row r="2465" spans="1:20" x14ac:dyDescent="0.35">
      <c r="A2465" s="7">
        <v>45929</v>
      </c>
      <c r="N2465" s="26">
        <v>76.790000000000006</v>
      </c>
      <c r="O2465" s="26"/>
      <c r="P2465" s="26">
        <v>78.819999999999993</v>
      </c>
      <c r="Q2465" s="26"/>
      <c r="R2465" s="26">
        <v>81.099999999999994</v>
      </c>
      <c r="S2465" s="26">
        <v>83.67</v>
      </c>
      <c r="T2465" s="26">
        <v>80.349999999999994</v>
      </c>
    </row>
    <row r="2466" spans="1:20" x14ac:dyDescent="0.35">
      <c r="A2466" s="7">
        <v>45930</v>
      </c>
      <c r="N2466" s="26">
        <v>75.72</v>
      </c>
      <c r="O2466" s="26"/>
      <c r="P2466" s="26">
        <v>77.75</v>
      </c>
      <c r="Q2466" s="26"/>
      <c r="R2466" s="26">
        <v>80.03</v>
      </c>
      <c r="S2466" s="26">
        <v>82.57</v>
      </c>
      <c r="T2466" s="26">
        <v>79.290000000000006</v>
      </c>
    </row>
    <row r="2467" spans="1:20" x14ac:dyDescent="0.35">
      <c r="A2467" s="7">
        <v>45931</v>
      </c>
      <c r="N2467" s="26">
        <v>76.33</v>
      </c>
      <c r="O2467" s="26"/>
      <c r="P2467" s="26">
        <v>78.34</v>
      </c>
      <c r="Q2467" s="26"/>
      <c r="R2467" s="26">
        <v>80.61</v>
      </c>
      <c r="S2467" s="26">
        <v>83.17</v>
      </c>
      <c r="T2467" s="26">
        <v>79.86</v>
      </c>
    </row>
    <row r="2468" spans="1:20" x14ac:dyDescent="0.35">
      <c r="A2468" s="7">
        <v>45932</v>
      </c>
      <c r="N2468" s="26">
        <v>77.430000000000007</v>
      </c>
      <c r="O2468" s="26"/>
      <c r="P2468" s="26">
        <v>79.48</v>
      </c>
      <c r="Q2468" s="26"/>
      <c r="R2468" s="26">
        <v>81.75</v>
      </c>
      <c r="S2468" s="26">
        <v>84.35</v>
      </c>
      <c r="T2468" s="26">
        <v>81</v>
      </c>
    </row>
    <row r="2469" spans="1:20" x14ac:dyDescent="0.35">
      <c r="A2469" s="7">
        <v>45933</v>
      </c>
      <c r="N2469" s="26">
        <v>79.16</v>
      </c>
      <c r="O2469" s="26"/>
      <c r="P2469" s="26">
        <v>81.209999999999994</v>
      </c>
      <c r="Q2469" s="26"/>
      <c r="R2469" s="26">
        <v>83.51</v>
      </c>
      <c r="S2469" s="26">
        <v>86.13</v>
      </c>
      <c r="T2469" s="26">
        <v>82.75</v>
      </c>
    </row>
    <row r="2470" spans="1:20" x14ac:dyDescent="0.35">
      <c r="A2470" s="7">
        <v>45934</v>
      </c>
      <c r="N2470" s="26">
        <v>79.16</v>
      </c>
      <c r="O2470" s="26"/>
      <c r="P2470" s="26">
        <v>81.209999999999994</v>
      </c>
      <c r="Q2470" s="26"/>
      <c r="R2470" s="26">
        <v>83.51</v>
      </c>
      <c r="S2470" s="26">
        <v>86.13</v>
      </c>
      <c r="T2470" s="26">
        <v>82.75</v>
      </c>
    </row>
    <row r="2471" spans="1:20" x14ac:dyDescent="0.35">
      <c r="A2471" s="7">
        <v>45935</v>
      </c>
      <c r="N2471" s="26">
        <v>79.16</v>
      </c>
      <c r="O2471" s="26"/>
      <c r="P2471" s="26">
        <v>81.209999999999994</v>
      </c>
      <c r="Q2471" s="26"/>
      <c r="R2471" s="26">
        <v>83.51</v>
      </c>
      <c r="S2471" s="26">
        <v>86.13</v>
      </c>
      <c r="T2471" s="26">
        <v>82.75</v>
      </c>
    </row>
    <row r="2472" spans="1:20" x14ac:dyDescent="0.35">
      <c r="A2472" s="7">
        <v>45936</v>
      </c>
      <c r="N2472" s="26">
        <v>78.75</v>
      </c>
      <c r="O2472" s="26"/>
      <c r="P2472" s="26">
        <v>80.8</v>
      </c>
      <c r="Q2472" s="26"/>
      <c r="R2472" s="26">
        <v>83.1</v>
      </c>
      <c r="S2472" s="26">
        <v>85.73</v>
      </c>
      <c r="T2472" s="26">
        <v>82.36</v>
      </c>
    </row>
    <row r="2473" spans="1:20" x14ac:dyDescent="0.35">
      <c r="A2473" s="7">
        <v>45937</v>
      </c>
      <c r="N2473" s="26">
        <v>78.31</v>
      </c>
      <c r="O2473" s="26"/>
      <c r="P2473" s="26">
        <v>80.38</v>
      </c>
      <c r="Q2473" s="26"/>
      <c r="R2473" s="26">
        <v>82.69</v>
      </c>
      <c r="S2473" s="26">
        <v>85.32</v>
      </c>
      <c r="T2473" s="26">
        <v>81.95</v>
      </c>
    </row>
    <row r="2474" spans="1:20" x14ac:dyDescent="0.35">
      <c r="A2474" s="7">
        <v>45938</v>
      </c>
      <c r="N2474" s="26">
        <v>79.010000000000005</v>
      </c>
      <c r="O2474" s="26"/>
      <c r="P2474" s="26">
        <v>81.08</v>
      </c>
      <c r="Q2474" s="26"/>
      <c r="R2474" s="26">
        <v>83.38</v>
      </c>
      <c r="S2474" s="26">
        <v>86.01</v>
      </c>
      <c r="T2474" s="26">
        <v>82.62</v>
      </c>
    </row>
    <row r="2475" spans="1:20" x14ac:dyDescent="0.35">
      <c r="A2475" s="7">
        <v>45939</v>
      </c>
      <c r="N2475" s="26">
        <v>79.23</v>
      </c>
      <c r="O2475" s="26"/>
      <c r="P2475" s="26">
        <v>81.290000000000006</v>
      </c>
      <c r="Q2475" s="26"/>
      <c r="R2475" s="26">
        <v>83.59</v>
      </c>
      <c r="S2475" s="26">
        <v>86.22</v>
      </c>
      <c r="T2475" s="26">
        <v>82.83</v>
      </c>
    </row>
    <row r="2476" spans="1:20" x14ac:dyDescent="0.35">
      <c r="A2476" s="7">
        <v>45940</v>
      </c>
      <c r="N2476" s="26">
        <v>79.680000000000007</v>
      </c>
      <c r="O2476" s="26"/>
      <c r="P2476" s="26">
        <v>81.739999999999995</v>
      </c>
      <c r="Q2476" s="26"/>
      <c r="R2476" s="26">
        <v>84.04</v>
      </c>
      <c r="S2476" s="26">
        <v>86.66</v>
      </c>
      <c r="T2476" s="26">
        <v>83.28</v>
      </c>
    </row>
    <row r="2477" spans="1:20" x14ac:dyDescent="0.35">
      <c r="A2477" s="7">
        <v>45941</v>
      </c>
      <c r="N2477" s="26">
        <v>79.680000000000007</v>
      </c>
      <c r="O2477" s="26"/>
      <c r="P2477" s="26">
        <v>81.739999999999995</v>
      </c>
      <c r="Q2477" s="26"/>
      <c r="R2477" s="26">
        <v>84.04</v>
      </c>
      <c r="S2477" s="26">
        <v>86.66</v>
      </c>
      <c r="T2477" s="26">
        <v>83.28</v>
      </c>
    </row>
    <row r="2478" spans="1:20" x14ac:dyDescent="0.35">
      <c r="A2478" s="7">
        <v>45942</v>
      </c>
      <c r="N2478" s="26">
        <v>79.680000000000007</v>
      </c>
      <c r="O2478" s="26"/>
      <c r="P2478" s="26">
        <v>81.739999999999995</v>
      </c>
      <c r="Q2478" s="26"/>
      <c r="R2478" s="26">
        <v>84.04</v>
      </c>
      <c r="S2478" s="26">
        <v>86.66</v>
      </c>
      <c r="T2478" s="26">
        <v>83.28</v>
      </c>
    </row>
    <row r="2479" spans="1:20" x14ac:dyDescent="0.35">
      <c r="A2479" s="7">
        <v>45943</v>
      </c>
      <c r="N2479" s="26">
        <v>78.12</v>
      </c>
      <c r="O2479" s="26"/>
      <c r="P2479" s="26">
        <v>80.150000000000006</v>
      </c>
      <c r="Q2479" s="26"/>
      <c r="R2479" s="26">
        <v>82.43</v>
      </c>
      <c r="S2479" s="26">
        <v>85.04</v>
      </c>
      <c r="T2479" s="26">
        <v>81.680000000000007</v>
      </c>
    </row>
    <row r="2480" spans="1:20" x14ac:dyDescent="0.35">
      <c r="A2480" s="7">
        <v>45944</v>
      </c>
      <c r="N2480" s="26">
        <v>76.92</v>
      </c>
      <c r="O2480" s="26"/>
      <c r="P2480" s="26">
        <v>78.94</v>
      </c>
      <c r="Q2480" s="26"/>
      <c r="R2480" s="26">
        <v>81.2</v>
      </c>
      <c r="S2480" s="26">
        <v>83.75</v>
      </c>
      <c r="T2480" s="26">
        <v>80.47</v>
      </c>
    </row>
    <row r="2481" spans="1:23" x14ac:dyDescent="0.35">
      <c r="A2481" s="7">
        <v>45945</v>
      </c>
      <c r="N2481" s="26">
        <v>77.88</v>
      </c>
      <c r="O2481" s="26"/>
      <c r="P2481" s="26">
        <v>79.92</v>
      </c>
      <c r="Q2481" s="26"/>
      <c r="R2481" s="26">
        <v>82.17</v>
      </c>
      <c r="S2481" s="26">
        <v>84.77</v>
      </c>
      <c r="T2481" s="26">
        <v>81.44</v>
      </c>
    </row>
    <row r="2482" spans="1:23" x14ac:dyDescent="0.35">
      <c r="A2482" s="7">
        <v>45946</v>
      </c>
      <c r="N2482" s="26">
        <v>79.510000000000005</v>
      </c>
      <c r="O2482" s="26"/>
      <c r="P2482" s="26">
        <v>81.55</v>
      </c>
      <c r="Q2482" s="26"/>
      <c r="R2482" s="26">
        <v>83.8</v>
      </c>
      <c r="S2482" s="26">
        <v>86.36</v>
      </c>
      <c r="T2482" s="26">
        <v>83.07</v>
      </c>
    </row>
    <row r="2483" spans="1:23" x14ac:dyDescent="0.35">
      <c r="A2483" s="7">
        <v>45947</v>
      </c>
      <c r="N2483" s="26">
        <v>79.459999999999994</v>
      </c>
      <c r="O2483" s="26"/>
      <c r="P2483" s="26">
        <v>81.489999999999995</v>
      </c>
      <c r="Q2483" s="26"/>
      <c r="R2483" s="26">
        <v>83.7</v>
      </c>
      <c r="S2483" s="26">
        <v>86.23</v>
      </c>
      <c r="T2483" s="26">
        <v>82.97</v>
      </c>
    </row>
    <row r="2484" spans="1:23" x14ac:dyDescent="0.35">
      <c r="A2484" s="7">
        <v>45948</v>
      </c>
      <c r="N2484" s="26">
        <v>79.459999999999994</v>
      </c>
      <c r="O2484" s="26"/>
      <c r="P2484" s="26">
        <v>81.489999999999995</v>
      </c>
      <c r="Q2484" s="26"/>
      <c r="R2484" s="26">
        <v>83.7</v>
      </c>
      <c r="S2484" s="26">
        <v>86.23</v>
      </c>
      <c r="T2484" s="26">
        <v>82.97</v>
      </c>
    </row>
    <row r="2485" spans="1:23" x14ac:dyDescent="0.35">
      <c r="A2485" s="7">
        <v>45949</v>
      </c>
      <c r="N2485" s="26">
        <v>79.459999999999994</v>
      </c>
      <c r="O2485" s="26"/>
      <c r="P2485" s="26">
        <v>81.489999999999995</v>
      </c>
      <c r="Q2485" s="26"/>
      <c r="R2485" s="26">
        <v>83.7</v>
      </c>
      <c r="S2485" s="26">
        <v>86.23</v>
      </c>
      <c r="T2485" s="26">
        <v>82.97</v>
      </c>
    </row>
    <row r="2486" spans="1:23" x14ac:dyDescent="0.35">
      <c r="A2486" s="7">
        <v>45950</v>
      </c>
      <c r="N2486" s="26">
        <v>79.819999999999993</v>
      </c>
      <c r="O2486" s="26"/>
      <c r="P2486" s="26">
        <v>81.86</v>
      </c>
      <c r="Q2486" s="26"/>
      <c r="R2486" s="26">
        <v>84.06</v>
      </c>
      <c r="S2486" s="26">
        <v>86.58</v>
      </c>
      <c r="T2486" s="26">
        <v>83.33</v>
      </c>
    </row>
    <row r="2487" spans="1:23" x14ac:dyDescent="0.35">
      <c r="A2487" s="7">
        <v>45951</v>
      </c>
      <c r="N2487" s="26">
        <v>79.58</v>
      </c>
      <c r="O2487" s="26"/>
      <c r="P2487" s="26">
        <v>81.62</v>
      </c>
      <c r="Q2487" s="26"/>
      <c r="R2487" s="26">
        <v>83.82</v>
      </c>
      <c r="S2487" s="26">
        <v>86.34</v>
      </c>
      <c r="T2487" s="26">
        <v>83.09</v>
      </c>
    </row>
    <row r="2488" spans="1:23" x14ac:dyDescent="0.35">
      <c r="A2488" s="7">
        <v>45952</v>
      </c>
      <c r="N2488" s="26">
        <v>78.459999999999994</v>
      </c>
      <c r="O2488" s="26"/>
      <c r="P2488" s="26">
        <v>80.48</v>
      </c>
      <c r="Q2488" s="26"/>
      <c r="R2488" s="26">
        <v>82.68</v>
      </c>
      <c r="S2488" s="26">
        <v>85.25</v>
      </c>
      <c r="T2488" s="26">
        <v>81.96</v>
      </c>
      <c r="U2488" s="26">
        <v>84.36</v>
      </c>
      <c r="V2488" s="26"/>
      <c r="W2488" s="26">
        <v>88.04</v>
      </c>
    </row>
    <row r="2489" spans="1:23" x14ac:dyDescent="0.35">
      <c r="A2489" s="7">
        <v>45953</v>
      </c>
      <c r="N2489" s="26">
        <v>78.44</v>
      </c>
      <c r="O2489" s="26"/>
      <c r="P2489" s="26">
        <v>80.459999999999994</v>
      </c>
      <c r="Q2489" s="26"/>
      <c r="R2489" s="26">
        <v>82.68</v>
      </c>
      <c r="S2489" s="26">
        <v>85.25</v>
      </c>
      <c r="T2489" s="26">
        <v>81.96</v>
      </c>
      <c r="U2489" s="26">
        <v>84.36</v>
      </c>
      <c r="V2489" s="26"/>
      <c r="W2489" s="26">
        <v>88.05</v>
      </c>
    </row>
    <row r="2490" spans="1:23" x14ac:dyDescent="0.35">
      <c r="A2490" s="7">
        <v>45954</v>
      </c>
      <c r="N2490" s="26">
        <v>78.319999999999993</v>
      </c>
      <c r="O2490" s="26"/>
      <c r="P2490" s="26">
        <v>80.349999999999994</v>
      </c>
      <c r="Q2490" s="26"/>
      <c r="R2490" s="26">
        <v>82.59</v>
      </c>
      <c r="S2490" s="26">
        <v>85.14</v>
      </c>
      <c r="T2490" s="26">
        <v>81.86</v>
      </c>
      <c r="U2490" s="26">
        <v>84.25</v>
      </c>
      <c r="V2490" s="26"/>
      <c r="W2490" s="26">
        <v>87.94</v>
      </c>
    </row>
    <row r="2491" spans="1:23" x14ac:dyDescent="0.35">
      <c r="A2491" s="7">
        <v>45955</v>
      </c>
      <c r="N2491" s="26">
        <v>78.319999999999993</v>
      </c>
      <c r="O2491" s="26"/>
      <c r="P2491" s="26">
        <v>80.349999999999994</v>
      </c>
      <c r="Q2491" s="26"/>
      <c r="R2491" s="26">
        <v>82.59</v>
      </c>
      <c r="S2491" s="26">
        <v>85.14</v>
      </c>
      <c r="T2491" s="26">
        <v>81.86</v>
      </c>
      <c r="U2491" s="26">
        <v>84.25</v>
      </c>
      <c r="V2491" s="26"/>
      <c r="W2491" s="26">
        <v>87.94</v>
      </c>
    </row>
    <row r="2492" spans="1:23" x14ac:dyDescent="0.35">
      <c r="A2492" s="7">
        <v>45956</v>
      </c>
      <c r="N2492" s="26">
        <v>78.319999999999993</v>
      </c>
      <c r="O2492" s="26"/>
      <c r="P2492" s="26">
        <v>80.349999999999994</v>
      </c>
      <c r="Q2492" s="26"/>
      <c r="R2492" s="26">
        <v>82.59</v>
      </c>
      <c r="S2492" s="26">
        <v>85.14</v>
      </c>
      <c r="T2492" s="26">
        <v>81.86</v>
      </c>
      <c r="U2492" s="26">
        <v>84.25</v>
      </c>
      <c r="V2492" s="26"/>
      <c r="W2492" s="26">
        <v>87.94</v>
      </c>
    </row>
    <row r="2493" spans="1:23" x14ac:dyDescent="0.35">
      <c r="A2493" s="7">
        <v>45957</v>
      </c>
      <c r="N2493" s="26">
        <v>77.77</v>
      </c>
      <c r="O2493" s="26"/>
      <c r="P2493" s="26">
        <v>79.790000000000006</v>
      </c>
      <c r="Q2493" s="26"/>
      <c r="R2493" s="26">
        <v>82.03</v>
      </c>
      <c r="S2493" s="26">
        <v>84.56</v>
      </c>
      <c r="T2493" s="26">
        <v>81.3</v>
      </c>
      <c r="U2493" s="26">
        <v>83.68</v>
      </c>
      <c r="V2493" s="26"/>
      <c r="W2493" s="26">
        <v>87.36</v>
      </c>
    </row>
    <row r="2494" spans="1:23" x14ac:dyDescent="0.35">
      <c r="A2494" s="7">
        <v>45958</v>
      </c>
      <c r="N2494" s="26">
        <v>78.319999999999993</v>
      </c>
      <c r="O2494" s="26"/>
      <c r="P2494" s="26">
        <v>80.349999999999994</v>
      </c>
      <c r="Q2494" s="26"/>
      <c r="R2494" s="26">
        <v>82.59</v>
      </c>
      <c r="S2494" s="26">
        <v>85.12</v>
      </c>
      <c r="T2494" s="26">
        <v>81.84</v>
      </c>
      <c r="U2494" s="26">
        <v>84.27</v>
      </c>
      <c r="V2494" s="26"/>
      <c r="W2494" s="26">
        <v>87.92</v>
      </c>
    </row>
    <row r="2495" spans="1:23" x14ac:dyDescent="0.35">
      <c r="A2495" s="7">
        <v>45959</v>
      </c>
      <c r="N2495" s="26">
        <v>78.81</v>
      </c>
      <c r="O2495" s="26"/>
      <c r="P2495" s="26">
        <v>80.84</v>
      </c>
      <c r="Q2495" s="26"/>
      <c r="R2495" s="26">
        <v>83.09</v>
      </c>
      <c r="S2495" s="26">
        <v>85.64</v>
      </c>
      <c r="T2495" s="26">
        <v>82.33</v>
      </c>
      <c r="U2495" s="26">
        <v>84.77</v>
      </c>
      <c r="V2495" s="26"/>
      <c r="W2495" s="26">
        <v>88.5</v>
      </c>
    </row>
    <row r="2496" spans="1:23" x14ac:dyDescent="0.35">
      <c r="A2496" s="7">
        <v>45960</v>
      </c>
      <c r="N2496" s="26">
        <v>78.67</v>
      </c>
      <c r="O2496" s="26"/>
      <c r="P2496" s="26">
        <v>80.709999999999994</v>
      </c>
      <c r="Q2496" s="26"/>
      <c r="R2496" s="26">
        <v>82.97</v>
      </c>
      <c r="S2496" s="26">
        <v>85.52</v>
      </c>
      <c r="T2496" s="26">
        <v>82.21</v>
      </c>
      <c r="U2496" s="26">
        <v>84.65</v>
      </c>
      <c r="V2496" s="26"/>
      <c r="W2496" s="26">
        <v>88.44</v>
      </c>
    </row>
    <row r="2497" spans="1:23" x14ac:dyDescent="0.35">
      <c r="A2497" s="7">
        <v>45961</v>
      </c>
      <c r="N2497" s="26">
        <v>78.540000000000006</v>
      </c>
      <c r="O2497" s="26"/>
      <c r="P2497" s="26">
        <v>80.58</v>
      </c>
      <c r="Q2497" s="26"/>
      <c r="R2497" s="26">
        <v>82.85</v>
      </c>
      <c r="S2497" s="26">
        <v>85.41</v>
      </c>
      <c r="T2497" s="26">
        <v>82.1</v>
      </c>
      <c r="U2497" s="26">
        <v>84.53</v>
      </c>
      <c r="V2497" s="26"/>
      <c r="W2497" s="26">
        <v>88.33</v>
      </c>
    </row>
    <row r="2498" spans="1:23" x14ac:dyDescent="0.35">
      <c r="A2498" s="7">
        <v>45962</v>
      </c>
      <c r="N2498" s="26">
        <v>78.540000000000006</v>
      </c>
      <c r="O2498" s="26"/>
      <c r="P2498" s="26">
        <v>80.58</v>
      </c>
      <c r="Q2498" s="26"/>
      <c r="R2498" s="26">
        <v>82.85</v>
      </c>
      <c r="S2498" s="26">
        <v>85.41</v>
      </c>
      <c r="T2498" s="26">
        <v>82.1</v>
      </c>
      <c r="U2498" s="26">
        <v>84.53</v>
      </c>
      <c r="V2498" s="26"/>
      <c r="W2498" s="26">
        <v>88.33</v>
      </c>
    </row>
    <row r="2499" spans="1:23" x14ac:dyDescent="0.35">
      <c r="A2499" s="7">
        <v>45963</v>
      </c>
      <c r="N2499" s="26">
        <v>78.540000000000006</v>
      </c>
      <c r="O2499" s="26"/>
      <c r="P2499" s="26">
        <v>80.58</v>
      </c>
      <c r="Q2499" s="26"/>
      <c r="R2499" s="26">
        <v>82.85</v>
      </c>
      <c r="S2499" s="26">
        <v>85.41</v>
      </c>
      <c r="T2499" s="26">
        <v>82.1</v>
      </c>
      <c r="U2499" s="26">
        <v>84.53</v>
      </c>
      <c r="V2499" s="26"/>
      <c r="W2499" s="26">
        <v>88.33</v>
      </c>
    </row>
    <row r="2500" spans="1:23" x14ac:dyDescent="0.35">
      <c r="A2500" s="7">
        <v>45964</v>
      </c>
      <c r="N2500" s="26">
        <v>81.2</v>
      </c>
      <c r="O2500" s="26"/>
      <c r="P2500" s="26">
        <v>83.28</v>
      </c>
      <c r="Q2500" s="26"/>
      <c r="R2500" s="26">
        <v>85.6</v>
      </c>
      <c r="S2500" s="26">
        <v>88.2</v>
      </c>
      <c r="T2500" s="26">
        <v>84.83</v>
      </c>
      <c r="U2500" s="26">
        <v>87.31</v>
      </c>
      <c r="V2500" s="26"/>
      <c r="W2500" s="26">
        <v>91.12</v>
      </c>
    </row>
    <row r="2501" spans="1:23" x14ac:dyDescent="0.35">
      <c r="A2501" s="7">
        <v>45965</v>
      </c>
      <c r="N2501" s="26">
        <v>82.31</v>
      </c>
      <c r="O2501" s="26"/>
      <c r="P2501" s="26">
        <v>84.41</v>
      </c>
      <c r="Q2501" s="26"/>
      <c r="R2501" s="26">
        <v>86.73</v>
      </c>
      <c r="S2501" s="26">
        <v>89.33</v>
      </c>
      <c r="T2501" s="26">
        <v>85.97</v>
      </c>
      <c r="U2501" s="26">
        <v>88.44</v>
      </c>
      <c r="V2501" s="26"/>
      <c r="W2501" s="26">
        <v>92.25</v>
      </c>
    </row>
    <row r="2502" spans="1:23" x14ac:dyDescent="0.35">
      <c r="A2502" s="7">
        <v>45966</v>
      </c>
      <c r="N2502" s="26">
        <v>81.489999999999995</v>
      </c>
      <c r="O2502" s="26"/>
      <c r="P2502" s="26">
        <v>83.58</v>
      </c>
      <c r="Q2502" s="26"/>
      <c r="R2502" s="26">
        <v>85.89</v>
      </c>
      <c r="S2502" s="26">
        <v>88.52</v>
      </c>
      <c r="T2502" s="26">
        <v>85.14</v>
      </c>
      <c r="U2502" s="26">
        <v>87.62</v>
      </c>
      <c r="V2502" s="26"/>
      <c r="W2502" s="26">
        <v>91.42</v>
      </c>
    </row>
    <row r="2503" spans="1:23" x14ac:dyDescent="0.35">
      <c r="A2503" s="7">
        <v>45967</v>
      </c>
      <c r="N2503" s="26">
        <v>80.17</v>
      </c>
      <c r="O2503" s="26"/>
      <c r="P2503" s="26">
        <v>82.24</v>
      </c>
      <c r="Q2503" s="26"/>
      <c r="R2503" s="26">
        <v>84.55</v>
      </c>
      <c r="S2503" s="26">
        <v>87.17</v>
      </c>
      <c r="T2503" s="26">
        <v>83.8</v>
      </c>
      <c r="U2503" s="26">
        <v>86.27</v>
      </c>
      <c r="V2503" s="26"/>
      <c r="W2503" s="26">
        <v>90.02</v>
      </c>
    </row>
    <row r="2504" spans="1:23" x14ac:dyDescent="0.35">
      <c r="A2504" s="7">
        <v>45968</v>
      </c>
      <c r="N2504" s="28">
        <v>80.650000000000006</v>
      </c>
      <c r="O2504" s="28"/>
      <c r="P2504" s="28">
        <v>82.77</v>
      </c>
      <c r="Q2504" s="28"/>
      <c r="R2504" s="28">
        <v>85.11</v>
      </c>
      <c r="S2504" s="28">
        <v>87.74</v>
      </c>
      <c r="T2504" s="28">
        <v>84.33</v>
      </c>
      <c r="U2504" s="28">
        <v>86.84</v>
      </c>
      <c r="V2504" s="28"/>
      <c r="W2504" s="28">
        <v>90.59</v>
      </c>
    </row>
    <row r="2505" spans="1:23" x14ac:dyDescent="0.35">
      <c r="A2505" s="7">
        <v>45969</v>
      </c>
      <c r="N2505" s="28">
        <v>80.650000000000006</v>
      </c>
      <c r="O2505" s="28"/>
      <c r="P2505" s="28">
        <v>82.77</v>
      </c>
      <c r="Q2505" s="28"/>
      <c r="R2505" s="28">
        <v>85.11</v>
      </c>
      <c r="S2505" s="28">
        <v>87.74</v>
      </c>
      <c r="T2505" s="28">
        <v>84.33</v>
      </c>
      <c r="U2505" s="28">
        <v>86.84</v>
      </c>
      <c r="V2505" s="28"/>
      <c r="W2505" s="28">
        <v>90.59</v>
      </c>
    </row>
    <row r="2506" spans="1:23" x14ac:dyDescent="0.35">
      <c r="A2506" s="7">
        <v>45970</v>
      </c>
      <c r="N2506" s="28">
        <v>80.650000000000006</v>
      </c>
      <c r="O2506" s="28"/>
      <c r="P2506" s="28">
        <v>82.77</v>
      </c>
      <c r="Q2506" s="28"/>
      <c r="R2506" s="28">
        <v>85.11</v>
      </c>
      <c r="S2506" s="28">
        <v>87.74</v>
      </c>
      <c r="T2506" s="28">
        <v>84.33</v>
      </c>
      <c r="U2506" s="28">
        <v>86.84</v>
      </c>
      <c r="V2506" s="28"/>
      <c r="W2506" s="28">
        <v>90.59</v>
      </c>
    </row>
    <row r="2507" spans="1:23" x14ac:dyDescent="0.35">
      <c r="A2507" s="7">
        <v>45971</v>
      </c>
      <c r="N2507" s="28">
        <v>80.650000000000006</v>
      </c>
      <c r="O2507" s="28"/>
      <c r="P2507" s="28">
        <v>82.77</v>
      </c>
      <c r="Q2507" s="28"/>
      <c r="R2507" s="28">
        <v>85.11</v>
      </c>
      <c r="S2507" s="28">
        <v>87.74</v>
      </c>
      <c r="T2507" s="28">
        <v>84.33</v>
      </c>
      <c r="U2507" s="28">
        <v>86.84</v>
      </c>
      <c r="V2507" s="28"/>
      <c r="W2507" s="28">
        <v>90.59</v>
      </c>
    </row>
    <row r="2508" spans="1:23" x14ac:dyDescent="0.35">
      <c r="A2508" s="7">
        <v>45972</v>
      </c>
      <c r="N2508" s="26">
        <v>80.650000000000006</v>
      </c>
      <c r="O2508" s="26"/>
      <c r="P2508" s="26">
        <v>82.77</v>
      </c>
      <c r="Q2508" s="26"/>
      <c r="R2508" s="26">
        <v>85.11</v>
      </c>
      <c r="S2508" s="26">
        <v>87.74</v>
      </c>
      <c r="T2508" s="26">
        <v>84.33</v>
      </c>
      <c r="U2508" s="26">
        <v>86.84</v>
      </c>
      <c r="V2508" s="26"/>
      <c r="W2508" s="26">
        <v>90.59</v>
      </c>
    </row>
    <row r="2509" spans="1:23" x14ac:dyDescent="0.35">
      <c r="A2509" s="7">
        <v>45973</v>
      </c>
      <c r="N2509" s="26">
        <v>81.91</v>
      </c>
      <c r="O2509" s="26"/>
      <c r="P2509" s="26">
        <v>84.06</v>
      </c>
      <c r="Q2509" s="26"/>
      <c r="R2509" s="26">
        <v>86.46</v>
      </c>
      <c r="S2509" s="26">
        <v>89.15</v>
      </c>
      <c r="T2509" s="26">
        <v>85.67</v>
      </c>
      <c r="U2509" s="26">
        <v>88.23</v>
      </c>
      <c r="V2509" s="26"/>
      <c r="W2509" s="26">
        <v>91.97</v>
      </c>
    </row>
    <row r="2510" spans="1:23" x14ac:dyDescent="0.35">
      <c r="A2510" s="7">
        <v>45974</v>
      </c>
      <c r="N2510" s="26">
        <v>81.34</v>
      </c>
      <c r="O2510" s="26"/>
      <c r="P2510" s="26">
        <v>83.53</v>
      </c>
      <c r="Q2510" s="26"/>
      <c r="R2510" s="26">
        <v>85.9</v>
      </c>
      <c r="S2510" s="26">
        <v>88.57</v>
      </c>
      <c r="T2510" s="26">
        <v>85.11</v>
      </c>
      <c r="U2510" s="26">
        <v>87.66</v>
      </c>
      <c r="V2510" s="26"/>
      <c r="W2510" s="26">
        <v>91.5</v>
      </c>
    </row>
    <row r="2511" spans="1:23" x14ac:dyDescent="0.35">
      <c r="A2511" s="7">
        <v>45975</v>
      </c>
      <c r="N2511" s="26">
        <v>80.930000000000007</v>
      </c>
      <c r="O2511" s="26"/>
      <c r="P2511" s="26">
        <v>83.11</v>
      </c>
      <c r="Q2511" s="26"/>
      <c r="R2511" s="26">
        <v>85.49</v>
      </c>
      <c r="S2511" s="26">
        <v>88.15</v>
      </c>
      <c r="T2511" s="26">
        <v>84.69</v>
      </c>
      <c r="U2511" s="26">
        <v>87.25</v>
      </c>
      <c r="V2511" s="26"/>
      <c r="W2511" s="26">
        <v>91.08</v>
      </c>
    </row>
    <row r="2512" spans="1:23" x14ac:dyDescent="0.35">
      <c r="A2512" s="7">
        <v>45976</v>
      </c>
      <c r="N2512" s="26">
        <v>80.930000000000007</v>
      </c>
      <c r="O2512" s="26"/>
      <c r="P2512" s="26">
        <v>83.11</v>
      </c>
      <c r="Q2512" s="26"/>
      <c r="R2512" s="26">
        <v>85.49</v>
      </c>
      <c r="S2512" s="26">
        <v>88.15</v>
      </c>
      <c r="T2512" s="26">
        <v>84.69</v>
      </c>
      <c r="U2512" s="26">
        <v>87.25</v>
      </c>
      <c r="V2512" s="26"/>
      <c r="W2512" s="26">
        <v>91.08</v>
      </c>
    </row>
    <row r="2513" spans="1:23" x14ac:dyDescent="0.35">
      <c r="A2513" s="7">
        <v>45977</v>
      </c>
      <c r="N2513" s="26">
        <v>80.930000000000007</v>
      </c>
      <c r="O2513" s="26"/>
      <c r="P2513" s="26">
        <v>83.11</v>
      </c>
      <c r="Q2513" s="26"/>
      <c r="R2513" s="26">
        <v>85.49</v>
      </c>
      <c r="S2513" s="26">
        <v>88.15</v>
      </c>
      <c r="T2513" s="26">
        <v>84.69</v>
      </c>
      <c r="U2513" s="26">
        <v>87.25</v>
      </c>
      <c r="V2513" s="26"/>
      <c r="W2513" s="26">
        <v>91.08</v>
      </c>
    </row>
    <row r="2514" spans="1:23" x14ac:dyDescent="0.35">
      <c r="A2514" s="7">
        <v>45978</v>
      </c>
      <c r="N2514" s="26">
        <v>79.92</v>
      </c>
      <c r="O2514" s="26"/>
      <c r="P2514" s="26">
        <v>82.09</v>
      </c>
      <c r="Q2514" s="26"/>
      <c r="R2514" s="26">
        <v>84.47</v>
      </c>
      <c r="S2514" s="26">
        <v>87.12</v>
      </c>
      <c r="T2514" s="26">
        <v>83.68</v>
      </c>
      <c r="U2514" s="26">
        <v>86.23</v>
      </c>
      <c r="V2514" s="26"/>
      <c r="W2514" s="26">
        <v>90.05</v>
      </c>
    </row>
    <row r="2515" spans="1:23" x14ac:dyDescent="0.35">
      <c r="A2515" s="7">
        <v>45979</v>
      </c>
      <c r="N2515" s="26">
        <v>81.22</v>
      </c>
      <c r="O2515" s="26"/>
      <c r="P2515" s="26">
        <v>83.41</v>
      </c>
      <c r="Q2515" s="26"/>
      <c r="R2515" s="26">
        <v>85.79</v>
      </c>
      <c r="S2515" s="26">
        <v>88.44</v>
      </c>
      <c r="T2515" s="26">
        <v>84.99</v>
      </c>
      <c r="U2515" s="26">
        <v>87.55</v>
      </c>
      <c r="V2515" s="26"/>
      <c r="W2515" s="26">
        <v>91.37</v>
      </c>
    </row>
    <row r="2516" spans="1:23" x14ac:dyDescent="0.35">
      <c r="A2516" s="7">
        <v>45980</v>
      </c>
      <c r="N2516" s="26">
        <v>80.66</v>
      </c>
      <c r="O2516" s="26"/>
      <c r="P2516" s="26">
        <v>82.82</v>
      </c>
      <c r="Q2516" s="26"/>
      <c r="R2516" s="26">
        <v>85.22</v>
      </c>
      <c r="S2516" s="26">
        <v>87.93</v>
      </c>
      <c r="T2516" s="26">
        <v>84.47</v>
      </c>
      <c r="U2516" s="26">
        <v>87.02</v>
      </c>
      <c r="V2516" s="26"/>
      <c r="W2516" s="26">
        <v>90.93</v>
      </c>
    </row>
    <row r="2517" spans="1:23" x14ac:dyDescent="0.35">
      <c r="A2517" s="7">
        <v>45981</v>
      </c>
      <c r="N2517" s="26">
        <v>81.36</v>
      </c>
      <c r="O2517" s="26"/>
      <c r="P2517" s="26">
        <v>83.51</v>
      </c>
      <c r="Q2517" s="26"/>
      <c r="R2517" s="26">
        <v>85.92</v>
      </c>
      <c r="S2517" s="26">
        <v>88.65</v>
      </c>
      <c r="T2517" s="26">
        <v>85.16</v>
      </c>
      <c r="U2517" s="26">
        <v>87.73</v>
      </c>
      <c r="V2517" s="26"/>
      <c r="W2517" s="26">
        <v>91.95</v>
      </c>
    </row>
    <row r="2518" spans="1:23" x14ac:dyDescent="0.35">
      <c r="A2518" s="7">
        <v>45982</v>
      </c>
      <c r="N2518" s="26">
        <v>80.41</v>
      </c>
      <c r="O2518" s="26"/>
      <c r="P2518" s="26">
        <v>82.55</v>
      </c>
      <c r="Q2518" s="26"/>
      <c r="R2518" s="26">
        <v>84.94</v>
      </c>
      <c r="S2518" s="26">
        <v>87.67</v>
      </c>
      <c r="T2518" s="26">
        <v>84.21</v>
      </c>
      <c r="U2518" s="26">
        <v>86.75</v>
      </c>
      <c r="V2518" s="26"/>
      <c r="W2518" s="26">
        <v>90.97</v>
      </c>
    </row>
    <row r="2519" spans="1:23" x14ac:dyDescent="0.35">
      <c r="A2519" s="7">
        <v>45983</v>
      </c>
      <c r="N2519" s="26">
        <v>80.41</v>
      </c>
      <c r="O2519" s="26"/>
      <c r="P2519" s="26">
        <v>82.55</v>
      </c>
      <c r="Q2519" s="26"/>
      <c r="R2519" s="26">
        <v>84.94</v>
      </c>
      <c r="S2519" s="26">
        <v>87.67</v>
      </c>
      <c r="T2519" s="26">
        <v>84.21</v>
      </c>
      <c r="U2519" s="26">
        <v>86.75</v>
      </c>
      <c r="V2519" s="26"/>
      <c r="W2519" s="26">
        <v>90.97</v>
      </c>
    </row>
    <row r="2520" spans="1:23" x14ac:dyDescent="0.35">
      <c r="A2520" s="7">
        <v>45984</v>
      </c>
      <c r="N2520" s="26">
        <v>80.41</v>
      </c>
      <c r="O2520" s="26"/>
      <c r="P2520" s="26">
        <v>82.55</v>
      </c>
      <c r="Q2520" s="26"/>
      <c r="R2520" s="26">
        <v>84.94</v>
      </c>
      <c r="S2520" s="26">
        <v>87.67</v>
      </c>
      <c r="T2520" s="26">
        <v>84.21</v>
      </c>
      <c r="U2520" s="26">
        <v>86.75</v>
      </c>
      <c r="V2520" s="26"/>
      <c r="W2520" s="26">
        <v>90.97</v>
      </c>
    </row>
    <row r="2521" spans="1:23" x14ac:dyDescent="0.35">
      <c r="A2521" s="7">
        <v>45985</v>
      </c>
      <c r="N2521" s="26">
        <v>80.61</v>
      </c>
      <c r="O2521" s="26"/>
      <c r="P2521" s="26">
        <v>82.75</v>
      </c>
      <c r="Q2521" s="26"/>
      <c r="R2521" s="26">
        <v>85.15</v>
      </c>
      <c r="S2521" s="26">
        <v>87.88</v>
      </c>
      <c r="T2521" s="26">
        <v>84.38</v>
      </c>
      <c r="U2521" s="26">
        <v>86.96</v>
      </c>
      <c r="V2521" s="26"/>
      <c r="W2521" s="26">
        <v>91.13</v>
      </c>
    </row>
    <row r="2522" spans="1:23" x14ac:dyDescent="0.35">
      <c r="A2522" s="7">
        <v>45986</v>
      </c>
      <c r="N2522" s="26">
        <v>81.87</v>
      </c>
      <c r="O2522" s="26"/>
      <c r="P2522" s="26">
        <v>84.04</v>
      </c>
      <c r="Q2522" s="26"/>
      <c r="R2522" s="26">
        <v>86.43</v>
      </c>
      <c r="S2522" s="26">
        <v>89.13</v>
      </c>
      <c r="T2522" s="26">
        <v>85.65</v>
      </c>
      <c r="U2522" s="26">
        <v>88.23</v>
      </c>
      <c r="V2522" s="26"/>
      <c r="W2522" s="26">
        <v>92.22</v>
      </c>
    </row>
    <row r="2523" spans="1:23" x14ac:dyDescent="0.35">
      <c r="A2523" s="7">
        <v>45987</v>
      </c>
      <c r="N2523" s="26">
        <v>81.680000000000007</v>
      </c>
      <c r="O2523" s="26"/>
      <c r="P2523" s="26">
        <v>83.86</v>
      </c>
      <c r="Q2523" s="26"/>
      <c r="R2523" s="26">
        <v>86.26</v>
      </c>
      <c r="S2523" s="26">
        <v>88.98</v>
      </c>
      <c r="T2523" s="26">
        <v>85.47</v>
      </c>
      <c r="U2523" s="26">
        <v>88.07</v>
      </c>
      <c r="V2523" s="26"/>
      <c r="W2523" s="26">
        <v>92.04</v>
      </c>
    </row>
    <row r="2524" spans="1:23" x14ac:dyDescent="0.35">
      <c r="A2524" s="7">
        <v>45988</v>
      </c>
      <c r="N2524" s="26">
        <v>82.21</v>
      </c>
      <c r="O2524" s="26"/>
      <c r="P2524" s="26">
        <v>84.37</v>
      </c>
      <c r="Q2524" s="26"/>
      <c r="R2524" s="26">
        <v>86.79</v>
      </c>
      <c r="S2524" s="26">
        <v>89.44</v>
      </c>
      <c r="T2524" s="26">
        <v>85.98</v>
      </c>
      <c r="U2524" s="26">
        <v>88.57</v>
      </c>
      <c r="V2524" s="26"/>
      <c r="W2524" s="26">
        <v>92.5</v>
      </c>
    </row>
    <row r="2525" spans="1:23" x14ac:dyDescent="0.35">
      <c r="A2525" s="7">
        <v>45989</v>
      </c>
      <c r="N2525" s="26">
        <v>83.26</v>
      </c>
      <c r="O2525" s="26"/>
      <c r="P2525" s="26">
        <v>85.44</v>
      </c>
      <c r="Q2525" s="26"/>
      <c r="R2525" s="26">
        <v>87.88</v>
      </c>
      <c r="S2525" s="26">
        <v>90.61</v>
      </c>
      <c r="T2525" s="26">
        <v>87.06</v>
      </c>
      <c r="U2525" s="26">
        <v>89.71</v>
      </c>
      <c r="V2525" s="26"/>
      <c r="W2525" s="26">
        <v>93.6</v>
      </c>
    </row>
    <row r="2526" spans="1:23" x14ac:dyDescent="0.35">
      <c r="A2526" s="7">
        <v>45990</v>
      </c>
      <c r="N2526" s="26">
        <v>83.26</v>
      </c>
      <c r="O2526" s="26"/>
      <c r="P2526" s="26">
        <v>85.44</v>
      </c>
      <c r="Q2526" s="26"/>
      <c r="R2526" s="26">
        <v>87.88</v>
      </c>
      <c r="S2526" s="26">
        <v>90.61</v>
      </c>
      <c r="T2526" s="26">
        <v>87.06</v>
      </c>
      <c r="U2526" s="26">
        <v>89.71</v>
      </c>
      <c r="V2526" s="26"/>
      <c r="W2526" s="26">
        <v>93.6</v>
      </c>
    </row>
    <row r="2527" spans="1:23" x14ac:dyDescent="0.35">
      <c r="A2527" s="7">
        <v>45991</v>
      </c>
      <c r="N2527" s="26">
        <v>83.26</v>
      </c>
      <c r="O2527" s="26"/>
      <c r="P2527" s="26">
        <v>85.44</v>
      </c>
      <c r="Q2527" s="26"/>
      <c r="R2527" s="26">
        <v>87.88</v>
      </c>
      <c r="S2527" s="26">
        <v>90.61</v>
      </c>
      <c r="T2527" s="26">
        <v>87.06</v>
      </c>
      <c r="U2527" s="26">
        <v>89.71</v>
      </c>
      <c r="V2527" s="26"/>
      <c r="W2527" s="26">
        <v>93.6</v>
      </c>
    </row>
    <row r="2528" spans="1:23" x14ac:dyDescent="0.35">
      <c r="A2528" s="7">
        <v>45992</v>
      </c>
      <c r="N2528" s="26">
        <v>82.64</v>
      </c>
      <c r="O2528" s="26"/>
      <c r="P2528" s="26">
        <v>84.86</v>
      </c>
      <c r="Q2528" s="26"/>
      <c r="R2528" s="26">
        <v>87.32</v>
      </c>
      <c r="S2528" s="26">
        <v>90.05</v>
      </c>
      <c r="T2528" s="26">
        <v>86.48</v>
      </c>
      <c r="U2528" s="26">
        <v>89.15</v>
      </c>
      <c r="V2528" s="26"/>
      <c r="W2528" s="26">
        <v>93</v>
      </c>
    </row>
    <row r="2529" spans="1:23" x14ac:dyDescent="0.35">
      <c r="A2529" s="7">
        <v>45993</v>
      </c>
      <c r="N2529" s="26">
        <v>81.819999999999993</v>
      </c>
      <c r="O2529" s="26"/>
      <c r="P2529" s="26">
        <v>84.03</v>
      </c>
      <c r="Q2529" s="26"/>
      <c r="R2529" s="26">
        <v>86.49</v>
      </c>
      <c r="S2529" s="26">
        <v>89.26</v>
      </c>
      <c r="T2529" s="26">
        <v>85.65</v>
      </c>
      <c r="U2529" s="26">
        <v>88.34</v>
      </c>
      <c r="V2529" s="26"/>
      <c r="W2529" s="26">
        <v>92.31</v>
      </c>
    </row>
    <row r="2530" spans="1:23" x14ac:dyDescent="0.35">
      <c r="A2530" s="7">
        <v>45994</v>
      </c>
      <c r="N2530" s="26">
        <v>81.790000000000006</v>
      </c>
      <c r="O2530" s="26"/>
      <c r="P2530" s="26">
        <v>84</v>
      </c>
      <c r="Q2530" s="26"/>
      <c r="R2530" s="26">
        <v>86.45</v>
      </c>
      <c r="S2530" s="26">
        <v>89.23</v>
      </c>
      <c r="T2530" s="26">
        <v>85.62</v>
      </c>
      <c r="U2530" s="26">
        <v>88.3</v>
      </c>
      <c r="V2530" s="26"/>
      <c r="W2530" s="26">
        <v>92.38</v>
      </c>
    </row>
    <row r="2531" spans="1:23" x14ac:dyDescent="0.35">
      <c r="A2531" s="7">
        <v>45995</v>
      </c>
      <c r="N2531" s="26">
        <v>82.43</v>
      </c>
      <c r="O2531" s="26"/>
      <c r="P2531" s="26">
        <v>84.64</v>
      </c>
      <c r="Q2531" s="26"/>
      <c r="R2531" s="26">
        <v>87.1</v>
      </c>
      <c r="S2531" s="26">
        <v>89.85</v>
      </c>
      <c r="T2531" s="26">
        <v>86.28</v>
      </c>
      <c r="U2531" s="26">
        <v>88.93</v>
      </c>
      <c r="V2531" s="26"/>
      <c r="W2531" s="26">
        <v>93</v>
      </c>
    </row>
    <row r="2532" spans="1:23" x14ac:dyDescent="0.35">
      <c r="A2532" s="7">
        <v>45996</v>
      </c>
      <c r="N2532" s="26">
        <v>81.98</v>
      </c>
      <c r="O2532" s="26"/>
      <c r="P2532" s="26">
        <v>84.2</v>
      </c>
      <c r="Q2532" s="26"/>
      <c r="R2532" s="26">
        <v>86.64</v>
      </c>
      <c r="S2532" s="26">
        <v>89.42</v>
      </c>
      <c r="T2532" s="26">
        <v>85.83</v>
      </c>
      <c r="U2532" s="26">
        <v>88.49</v>
      </c>
      <c r="V2532" s="26"/>
      <c r="W2532" s="26">
        <v>92.57</v>
      </c>
    </row>
    <row r="2533" spans="1:23" x14ac:dyDescent="0.35">
      <c r="A2533" s="7">
        <v>45997</v>
      </c>
      <c r="N2533" s="26">
        <v>81.98</v>
      </c>
      <c r="O2533" s="26"/>
      <c r="P2533" s="26">
        <v>84.2</v>
      </c>
      <c r="Q2533" s="26"/>
      <c r="R2533" s="26">
        <v>86.64</v>
      </c>
      <c r="S2533" s="26">
        <v>89.42</v>
      </c>
      <c r="T2533" s="26">
        <v>85.83</v>
      </c>
      <c r="U2533" s="26">
        <v>88.49</v>
      </c>
      <c r="V2533" s="26"/>
      <c r="W2533" s="26">
        <v>92.57</v>
      </c>
    </row>
    <row r="2534" spans="1:23" x14ac:dyDescent="0.35">
      <c r="A2534" s="7">
        <v>45998</v>
      </c>
      <c r="N2534" s="26">
        <v>81.98</v>
      </c>
      <c r="O2534" s="26"/>
      <c r="P2534" s="26">
        <v>84.2</v>
      </c>
      <c r="Q2534" s="26"/>
      <c r="R2534" s="26">
        <v>86.64</v>
      </c>
      <c r="S2534" s="26">
        <v>89.42</v>
      </c>
      <c r="T2534" s="26">
        <v>85.83</v>
      </c>
      <c r="U2534" s="26">
        <v>88.49</v>
      </c>
      <c r="V2534" s="26"/>
      <c r="W2534" s="26">
        <v>92.57</v>
      </c>
    </row>
    <row r="2535" spans="1:23" x14ac:dyDescent="0.35">
      <c r="A2535" s="7">
        <v>45999</v>
      </c>
      <c r="N2535" s="26">
        <v>81.98</v>
      </c>
      <c r="O2535" s="26"/>
      <c r="P2535" s="26">
        <v>84.23</v>
      </c>
      <c r="Q2535" s="26"/>
      <c r="R2535" s="26">
        <v>86.81</v>
      </c>
      <c r="S2535" s="26">
        <v>89.7</v>
      </c>
      <c r="T2535" s="26">
        <v>85.94</v>
      </c>
      <c r="U2535" s="26">
        <v>88.69</v>
      </c>
      <c r="V2535" s="26"/>
      <c r="W2535" s="26">
        <v>92.85</v>
      </c>
    </row>
    <row r="2536" spans="1:23" x14ac:dyDescent="0.35">
      <c r="A2536" s="7">
        <v>46000</v>
      </c>
      <c r="N2536" s="26">
        <v>82.85</v>
      </c>
      <c r="O2536" s="26"/>
      <c r="P2536" s="26">
        <v>85.12</v>
      </c>
      <c r="Q2536" s="26"/>
      <c r="R2536" s="26">
        <v>87.73</v>
      </c>
      <c r="S2536" s="26">
        <v>90.63</v>
      </c>
      <c r="T2536" s="26">
        <v>86.86</v>
      </c>
      <c r="U2536" s="26">
        <v>89.62</v>
      </c>
      <c r="V2536" s="26"/>
      <c r="W2536" s="26">
        <v>93.78</v>
      </c>
    </row>
    <row r="2537" spans="1:23" x14ac:dyDescent="0.35">
      <c r="A2537" s="7">
        <v>46001</v>
      </c>
      <c r="N2537" s="26">
        <v>82.42</v>
      </c>
      <c r="O2537" s="26"/>
      <c r="P2537" s="26">
        <v>84.7</v>
      </c>
      <c r="Q2537" s="26"/>
      <c r="R2537" s="26">
        <v>87.37</v>
      </c>
      <c r="S2537" s="26">
        <v>90.3</v>
      </c>
      <c r="T2537" s="26">
        <v>86.47</v>
      </c>
      <c r="U2537" s="26">
        <v>89.28</v>
      </c>
      <c r="V2537" s="26"/>
      <c r="W2537" s="26">
        <v>93.45</v>
      </c>
    </row>
    <row r="2538" spans="1:23" x14ac:dyDescent="0.35">
      <c r="A2538" s="7">
        <v>46002</v>
      </c>
      <c r="N2538" s="26">
        <v>83.9</v>
      </c>
      <c r="O2538" s="26"/>
      <c r="P2538" s="26">
        <v>86.2</v>
      </c>
      <c r="Q2538" s="26"/>
      <c r="R2538" s="26">
        <v>88.93</v>
      </c>
      <c r="S2538" s="26">
        <v>92.03</v>
      </c>
      <c r="T2538" s="26">
        <v>88.01</v>
      </c>
      <c r="U2538" s="26">
        <v>90.92</v>
      </c>
      <c r="V2538" s="26"/>
      <c r="W2538" s="26">
        <v>95.18</v>
      </c>
    </row>
    <row r="2539" spans="1:23" x14ac:dyDescent="0.35">
      <c r="A2539" s="7">
        <v>46003</v>
      </c>
      <c r="N2539" s="26">
        <v>83.79</v>
      </c>
      <c r="O2539" s="26"/>
      <c r="P2539" s="26">
        <v>86.04</v>
      </c>
      <c r="Q2539" s="26"/>
      <c r="R2539" s="26">
        <v>88.76</v>
      </c>
      <c r="S2539" s="26">
        <v>91.81</v>
      </c>
      <c r="T2539" s="26">
        <v>87.85</v>
      </c>
      <c r="U2539" s="26">
        <v>90.72</v>
      </c>
      <c r="V2539" s="26"/>
      <c r="W2539" s="26">
        <v>95.01</v>
      </c>
    </row>
    <row r="2540" spans="1:23" x14ac:dyDescent="0.35">
      <c r="A2540" s="7">
        <v>46004</v>
      </c>
      <c r="N2540" s="26">
        <v>83.79</v>
      </c>
      <c r="O2540" s="26"/>
      <c r="P2540" s="26">
        <v>86.04</v>
      </c>
      <c r="Q2540" s="26"/>
      <c r="R2540" s="26">
        <v>88.76</v>
      </c>
      <c r="S2540" s="26">
        <v>91.81</v>
      </c>
      <c r="T2540" s="26">
        <v>87.85</v>
      </c>
      <c r="U2540" s="26">
        <v>90.72</v>
      </c>
      <c r="V2540" s="26"/>
      <c r="W2540" s="26">
        <v>95.01</v>
      </c>
    </row>
    <row r="2541" spans="1:23" x14ac:dyDescent="0.35">
      <c r="A2541" s="7">
        <v>46005</v>
      </c>
      <c r="N2541" s="26">
        <v>83.79</v>
      </c>
      <c r="O2541" s="26"/>
      <c r="P2541" s="26">
        <v>86.04</v>
      </c>
      <c r="Q2541" s="26"/>
      <c r="R2541" s="26">
        <v>88.76</v>
      </c>
      <c r="S2541" s="26">
        <v>91.81</v>
      </c>
      <c r="T2541" s="26">
        <v>87.85</v>
      </c>
      <c r="U2541" s="26">
        <v>90.72</v>
      </c>
      <c r="V2541" s="26"/>
      <c r="W2541" s="26">
        <v>95.01</v>
      </c>
    </row>
    <row r="2542" spans="1:23" x14ac:dyDescent="0.35">
      <c r="A2542" s="7">
        <v>46006</v>
      </c>
      <c r="N2542" s="26">
        <v>85</v>
      </c>
      <c r="O2542" s="26"/>
      <c r="P2542" s="26">
        <v>87.28</v>
      </c>
      <c r="Q2542" s="26"/>
      <c r="R2542" s="26">
        <v>89.96</v>
      </c>
      <c r="S2542" s="26">
        <v>92.99</v>
      </c>
      <c r="T2542" s="26">
        <v>89.08</v>
      </c>
      <c r="U2542" s="26">
        <v>91.91</v>
      </c>
      <c r="V2542" s="26"/>
      <c r="W2542" s="26">
        <v>96.32</v>
      </c>
    </row>
    <row r="2543" spans="1:23" x14ac:dyDescent="0.35">
      <c r="A2543" s="7">
        <v>46007</v>
      </c>
      <c r="N2543" s="11">
        <f>IF(P2543&lt;&gt;"",P2543-P2542+N2542,"")</f>
        <v>85.08</v>
      </c>
      <c r="O2543" s="26"/>
      <c r="P2543" s="26">
        <v>87.36</v>
      </c>
      <c r="Q2543" s="26"/>
      <c r="R2543" s="26">
        <v>90.02</v>
      </c>
      <c r="S2543" s="26">
        <v>93.05</v>
      </c>
      <c r="T2543" s="26">
        <v>89.17</v>
      </c>
      <c r="U2543" s="26">
        <v>91.97</v>
      </c>
      <c r="V2543" s="26"/>
      <c r="W2543" s="26">
        <v>96.36</v>
      </c>
    </row>
    <row r="2544" spans="1:23" x14ac:dyDescent="0.35">
      <c r="A2544" s="7">
        <v>46008</v>
      </c>
      <c r="N2544" s="11">
        <f t="shared" ref="N2544:N2558" si="12">IF(P2544&lt;&gt;"",P2544-P2543+N2543,"")</f>
        <v>84.52</v>
      </c>
      <c r="O2544" s="26"/>
      <c r="P2544" s="26">
        <v>86.8</v>
      </c>
      <c r="Q2544" s="26"/>
      <c r="R2544" s="26">
        <v>89.44</v>
      </c>
      <c r="S2544" s="26">
        <v>92.46</v>
      </c>
      <c r="T2544" s="26">
        <v>88.61</v>
      </c>
      <c r="U2544" s="26">
        <v>91.38</v>
      </c>
      <c r="V2544" s="26"/>
      <c r="W2544" s="26">
        <v>95.96</v>
      </c>
    </row>
    <row r="2545" spans="1:23" x14ac:dyDescent="0.35">
      <c r="A2545" s="7">
        <v>46009</v>
      </c>
      <c r="N2545" s="11">
        <f t="shared" si="12"/>
        <v>84.2</v>
      </c>
      <c r="O2545" s="26"/>
      <c r="P2545" s="26">
        <v>86.48</v>
      </c>
      <c r="Q2545" s="26"/>
      <c r="R2545" s="26">
        <v>89.13</v>
      </c>
      <c r="S2545" s="26">
        <v>92.15</v>
      </c>
      <c r="T2545" s="26">
        <v>88.29</v>
      </c>
      <c r="U2545" s="26">
        <v>91.07</v>
      </c>
      <c r="V2545" s="26"/>
      <c r="W2545" s="26">
        <v>95.59</v>
      </c>
    </row>
    <row r="2546" spans="1:23" x14ac:dyDescent="0.35">
      <c r="A2546" s="7">
        <v>46010</v>
      </c>
      <c r="N2546" s="11">
        <f t="shared" si="12"/>
        <v>84.77</v>
      </c>
      <c r="O2546" s="26"/>
      <c r="P2546" s="26">
        <v>87.05</v>
      </c>
      <c r="Q2546" s="26"/>
      <c r="R2546" s="26">
        <v>89.72</v>
      </c>
      <c r="S2546" s="26">
        <v>92.74</v>
      </c>
      <c r="T2546" s="26">
        <v>88.86</v>
      </c>
      <c r="U2546" s="26">
        <v>91.66</v>
      </c>
      <c r="V2546" s="26"/>
      <c r="W2546" s="26">
        <v>96.18</v>
      </c>
    </row>
    <row r="2547" spans="1:23" x14ac:dyDescent="0.35">
      <c r="A2547" s="7">
        <v>46011</v>
      </c>
      <c r="N2547" s="11">
        <f t="shared" si="12"/>
        <v>84.77</v>
      </c>
      <c r="O2547" s="26"/>
      <c r="P2547" s="26">
        <v>87.05</v>
      </c>
      <c r="Q2547" s="26"/>
      <c r="R2547" s="26">
        <v>89.72</v>
      </c>
      <c r="S2547" s="26">
        <v>92.74</v>
      </c>
      <c r="T2547" s="26">
        <v>88.86</v>
      </c>
      <c r="U2547" s="26">
        <v>91.66</v>
      </c>
      <c r="V2547" s="26"/>
      <c r="W2547" s="26">
        <v>96.18</v>
      </c>
    </row>
    <row r="2548" spans="1:23" x14ac:dyDescent="0.35">
      <c r="A2548" s="7">
        <v>46012</v>
      </c>
      <c r="N2548" s="11">
        <f t="shared" si="12"/>
        <v>84.77</v>
      </c>
      <c r="O2548" s="26"/>
      <c r="P2548" s="26">
        <v>87.05</v>
      </c>
      <c r="Q2548" s="26"/>
      <c r="R2548" s="26">
        <v>89.72</v>
      </c>
      <c r="S2548" s="26">
        <v>92.74</v>
      </c>
      <c r="T2548" s="26">
        <v>88.86</v>
      </c>
      <c r="U2548" s="26">
        <v>91.66</v>
      </c>
      <c r="V2548" s="26"/>
      <c r="W2548" s="26">
        <v>96.18</v>
      </c>
    </row>
    <row r="2549" spans="1:23" x14ac:dyDescent="0.35">
      <c r="A2549" s="7">
        <v>46013</v>
      </c>
      <c r="N2549" s="11">
        <f t="shared" si="12"/>
        <v>85.2</v>
      </c>
      <c r="O2549" s="26"/>
      <c r="P2549" s="26">
        <v>87.48</v>
      </c>
      <c r="Q2549" s="26"/>
      <c r="R2549" s="26">
        <v>90.16</v>
      </c>
      <c r="S2549" s="26">
        <v>93.23</v>
      </c>
      <c r="T2549" s="26">
        <v>89.3</v>
      </c>
      <c r="U2549" s="26">
        <v>92.13</v>
      </c>
      <c r="V2549" s="26"/>
      <c r="W2549" s="26">
        <v>96.72</v>
      </c>
    </row>
    <row r="2550" spans="1:23" x14ac:dyDescent="0.35">
      <c r="A2550" s="7">
        <v>46014</v>
      </c>
      <c r="N2550" s="11">
        <f t="shared" si="12"/>
        <v>86.26</v>
      </c>
      <c r="O2550" s="26"/>
      <c r="P2550" s="26">
        <v>88.54</v>
      </c>
      <c r="Q2550" s="26"/>
      <c r="R2550" s="26">
        <v>91.25</v>
      </c>
      <c r="S2550" s="26">
        <v>94.35</v>
      </c>
      <c r="T2550" s="26">
        <v>90.38</v>
      </c>
      <c r="U2550" s="26">
        <v>93.23</v>
      </c>
      <c r="V2550" s="26"/>
      <c r="W2550" s="26">
        <v>97.85</v>
      </c>
    </row>
    <row r="2551" spans="1:23" x14ac:dyDescent="0.35">
      <c r="A2551" s="7">
        <v>46015</v>
      </c>
      <c r="N2551" s="11">
        <f t="shared" si="12"/>
        <v>85.73</v>
      </c>
      <c r="O2551" s="26"/>
      <c r="P2551" s="26">
        <v>88.01</v>
      </c>
      <c r="Q2551" s="26"/>
      <c r="R2551" s="26">
        <v>90.69</v>
      </c>
      <c r="S2551" s="26">
        <v>93.77</v>
      </c>
      <c r="T2551" s="26">
        <v>89.93</v>
      </c>
      <c r="U2551" s="26">
        <v>92.71</v>
      </c>
      <c r="V2551" s="26"/>
      <c r="W2551" s="26">
        <v>97.22</v>
      </c>
    </row>
    <row r="2552" spans="1:23" x14ac:dyDescent="0.35">
      <c r="A2552" s="7">
        <v>46016</v>
      </c>
      <c r="N2552" s="11">
        <f t="shared" si="12"/>
        <v>85.73</v>
      </c>
      <c r="O2552" s="26"/>
      <c r="P2552" s="26">
        <v>88.01</v>
      </c>
      <c r="Q2552" s="26"/>
      <c r="R2552" s="26">
        <v>90.69</v>
      </c>
      <c r="S2552" s="26">
        <v>93.77</v>
      </c>
      <c r="T2552" s="26">
        <v>89.93</v>
      </c>
      <c r="U2552" s="26">
        <v>92.71</v>
      </c>
      <c r="V2552" s="26"/>
      <c r="W2552" s="26">
        <v>97.22</v>
      </c>
    </row>
    <row r="2553" spans="1:23" x14ac:dyDescent="0.35">
      <c r="A2553" s="7">
        <v>46017</v>
      </c>
      <c r="N2553" s="11">
        <f t="shared" si="12"/>
        <v>85.73</v>
      </c>
      <c r="O2553" s="26"/>
      <c r="P2553" s="26">
        <v>88.01</v>
      </c>
      <c r="Q2553" s="26"/>
      <c r="R2553" s="26">
        <v>90.69</v>
      </c>
      <c r="S2553" s="26">
        <v>93.77</v>
      </c>
      <c r="T2553" s="26">
        <v>89.93</v>
      </c>
      <c r="U2553" s="26">
        <v>92.71</v>
      </c>
      <c r="V2553" s="26"/>
      <c r="W2553" s="26">
        <v>97.22</v>
      </c>
    </row>
    <row r="2554" spans="1:23" x14ac:dyDescent="0.35">
      <c r="A2554" s="7">
        <v>46018</v>
      </c>
      <c r="N2554" s="11">
        <f t="shared" si="12"/>
        <v>85.73</v>
      </c>
      <c r="O2554" s="26"/>
      <c r="P2554" s="26">
        <v>88.01</v>
      </c>
      <c r="Q2554" s="26"/>
      <c r="R2554" s="26">
        <v>90.69</v>
      </c>
      <c r="S2554" s="26">
        <v>93.77</v>
      </c>
      <c r="T2554" s="26">
        <v>89.93</v>
      </c>
      <c r="U2554" s="26">
        <v>92.71</v>
      </c>
      <c r="V2554" s="26"/>
      <c r="W2554" s="26">
        <v>97.22</v>
      </c>
    </row>
    <row r="2555" spans="1:23" x14ac:dyDescent="0.35">
      <c r="A2555" s="7">
        <v>46019</v>
      </c>
      <c r="N2555" s="11">
        <f t="shared" si="12"/>
        <v>85.73</v>
      </c>
      <c r="O2555" s="26"/>
      <c r="P2555" s="26">
        <v>88.01</v>
      </c>
      <c r="Q2555" s="26"/>
      <c r="R2555" s="26">
        <v>90.69</v>
      </c>
      <c r="S2555" s="26">
        <v>93.77</v>
      </c>
      <c r="T2555" s="26">
        <v>89.93</v>
      </c>
      <c r="U2555" s="26">
        <v>92.71</v>
      </c>
      <c r="V2555" s="26"/>
      <c r="W2555" s="26">
        <v>97.22</v>
      </c>
    </row>
    <row r="2556" spans="1:23" x14ac:dyDescent="0.35">
      <c r="A2556" s="7">
        <v>46020</v>
      </c>
      <c r="N2556" s="11">
        <f t="shared" si="12"/>
        <v>85.179999999999993</v>
      </c>
      <c r="O2556" s="26"/>
      <c r="P2556" s="26">
        <v>87.46</v>
      </c>
      <c r="Q2556" s="26"/>
      <c r="R2556" s="26">
        <v>90.13</v>
      </c>
      <c r="S2556" s="26">
        <v>93.14</v>
      </c>
      <c r="T2556" s="26">
        <v>89.23</v>
      </c>
      <c r="U2556" s="26">
        <v>92.1</v>
      </c>
      <c r="V2556" s="26"/>
      <c r="W2556" s="26">
        <v>96.7</v>
      </c>
    </row>
    <row r="2557" spans="1:23" x14ac:dyDescent="0.35">
      <c r="A2557" s="7">
        <v>46021</v>
      </c>
      <c r="N2557" s="11">
        <f t="shared" si="12"/>
        <v>85</v>
      </c>
      <c r="O2557" s="26"/>
      <c r="P2557" s="26">
        <v>87.28</v>
      </c>
      <c r="Q2557" s="26"/>
      <c r="R2557" s="26">
        <v>89.93</v>
      </c>
      <c r="S2557" s="26">
        <v>92.97</v>
      </c>
      <c r="T2557" s="26">
        <v>89.09</v>
      </c>
      <c r="U2557" s="26">
        <v>91.92</v>
      </c>
      <c r="V2557" s="26"/>
      <c r="W2557" s="26">
        <v>96.47</v>
      </c>
    </row>
    <row r="2558" spans="1:23" x14ac:dyDescent="0.35">
      <c r="A2558" s="7">
        <v>46022</v>
      </c>
      <c r="N2558" s="11">
        <f t="shared" si="12"/>
        <v>85</v>
      </c>
      <c r="O2558" s="26"/>
      <c r="P2558" s="26">
        <v>87.28</v>
      </c>
      <c r="Q2558" s="26"/>
      <c r="R2558" s="26">
        <v>89.93</v>
      </c>
      <c r="S2558" s="26">
        <v>92.97</v>
      </c>
      <c r="T2558" s="26">
        <v>89.09</v>
      </c>
      <c r="U2558" s="26">
        <v>91.92</v>
      </c>
      <c r="V2558" s="26"/>
      <c r="W2558" s="26">
        <v>96.47</v>
      </c>
    </row>
    <row r="2559" spans="1:23" x14ac:dyDescent="0.35">
      <c r="A2559" s="7">
        <v>46023</v>
      </c>
      <c r="P2559" s="26">
        <v>87.28</v>
      </c>
      <c r="Q2559" s="26"/>
      <c r="R2559" s="26">
        <v>89.93</v>
      </c>
      <c r="S2559" s="26">
        <v>92.97</v>
      </c>
      <c r="T2559" s="26">
        <v>89.09</v>
      </c>
      <c r="U2559" s="26">
        <v>91.92</v>
      </c>
      <c r="V2559" s="26"/>
      <c r="W2559" s="26">
        <v>96.47</v>
      </c>
    </row>
    <row r="2560" spans="1:23" x14ac:dyDescent="0.35">
      <c r="A2560" s="7">
        <v>46024</v>
      </c>
      <c r="P2560" s="26">
        <v>87.28</v>
      </c>
      <c r="Q2560" s="26"/>
      <c r="R2560" s="26">
        <v>89.93</v>
      </c>
      <c r="S2560" s="26">
        <v>92.97</v>
      </c>
      <c r="T2560" s="26">
        <v>89.09</v>
      </c>
      <c r="U2560" s="26">
        <v>91.92</v>
      </c>
      <c r="V2560" s="26"/>
      <c r="W2560" s="26">
        <v>96.47</v>
      </c>
    </row>
    <row r="2561" spans="1:23" x14ac:dyDescent="0.35">
      <c r="A2561" s="7">
        <v>46025</v>
      </c>
      <c r="P2561" s="26">
        <v>87.28</v>
      </c>
      <c r="Q2561" s="26"/>
      <c r="R2561" s="26">
        <v>89.93</v>
      </c>
      <c r="S2561" s="26">
        <v>92.97</v>
      </c>
      <c r="T2561" s="26">
        <v>89.09</v>
      </c>
      <c r="U2561" s="26">
        <v>91.92</v>
      </c>
      <c r="V2561" s="26"/>
      <c r="W2561" s="26">
        <v>96.47</v>
      </c>
    </row>
    <row r="2562" spans="1:23" x14ac:dyDescent="0.35">
      <c r="A2562" s="7">
        <v>46026</v>
      </c>
      <c r="P2562" s="26">
        <v>87.28</v>
      </c>
      <c r="Q2562" s="26"/>
      <c r="R2562" s="26">
        <v>89.93</v>
      </c>
      <c r="S2562" s="26">
        <v>92.97</v>
      </c>
      <c r="T2562" s="26">
        <v>89.09</v>
      </c>
      <c r="U2562" s="26">
        <v>91.92</v>
      </c>
      <c r="V2562" s="26"/>
      <c r="W2562" s="26">
        <v>96.47</v>
      </c>
    </row>
    <row r="2563" spans="1:23" x14ac:dyDescent="0.35">
      <c r="A2563" s="7">
        <v>46027</v>
      </c>
      <c r="P2563" s="26">
        <v>87.25</v>
      </c>
      <c r="Q2563" s="26"/>
      <c r="R2563" s="26">
        <v>89.87</v>
      </c>
      <c r="S2563" s="26">
        <v>92.86</v>
      </c>
      <c r="T2563" s="26">
        <v>89.1</v>
      </c>
      <c r="U2563" s="26">
        <v>91.87</v>
      </c>
      <c r="V2563" s="26"/>
      <c r="W2563" s="26">
        <v>96.31</v>
      </c>
    </row>
    <row r="2564" spans="1:23" x14ac:dyDescent="0.35">
      <c r="A2564" s="7">
        <v>46028</v>
      </c>
      <c r="P2564" s="26">
        <v>88.1</v>
      </c>
      <c r="Q2564" s="26"/>
      <c r="R2564" s="26">
        <v>90.7</v>
      </c>
      <c r="S2564" s="26">
        <v>93.66</v>
      </c>
      <c r="T2564" s="26">
        <v>89.86</v>
      </c>
      <c r="U2564" s="26">
        <v>92.68</v>
      </c>
      <c r="V2564" s="26"/>
      <c r="W2564" s="26">
        <v>97.09</v>
      </c>
    </row>
    <row r="2565" spans="1:23" x14ac:dyDescent="0.35">
      <c r="A2565" s="7">
        <v>46029</v>
      </c>
      <c r="P2565" s="26">
        <v>88.13</v>
      </c>
      <c r="Q2565" s="26"/>
      <c r="R2565" s="26">
        <v>90.68</v>
      </c>
      <c r="S2565" s="26">
        <v>93.54</v>
      </c>
      <c r="T2565" s="26">
        <v>89.87</v>
      </c>
      <c r="U2565" s="26">
        <v>92.6</v>
      </c>
      <c r="V2565" s="26"/>
      <c r="W2565" s="26">
        <v>96.87</v>
      </c>
    </row>
    <row r="2566" spans="1:23" x14ac:dyDescent="0.35">
      <c r="A2566" s="7">
        <v>46030</v>
      </c>
      <c r="P2566" s="26">
        <v>88.19</v>
      </c>
      <c r="Q2566" s="26"/>
      <c r="R2566" s="26">
        <v>90.72</v>
      </c>
      <c r="S2566" s="26">
        <v>93.57</v>
      </c>
      <c r="T2566" s="26">
        <v>89.91</v>
      </c>
      <c r="U2566" s="26">
        <v>92.64</v>
      </c>
      <c r="V2566" s="26"/>
      <c r="W2566" s="26">
        <v>96.91</v>
      </c>
    </row>
    <row r="2567" spans="1:23" x14ac:dyDescent="0.35">
      <c r="A2567" s="7">
        <v>46031</v>
      </c>
      <c r="P2567" s="26">
        <v>89.56</v>
      </c>
      <c r="Q2567" s="26"/>
      <c r="R2567" s="26">
        <v>92.1</v>
      </c>
      <c r="S2567" s="26">
        <v>94.98</v>
      </c>
      <c r="T2567" s="26">
        <v>91.24</v>
      </c>
      <c r="U2567" s="26">
        <v>94.04</v>
      </c>
      <c r="V2567" s="26"/>
      <c r="W2567" s="26">
        <v>98.31</v>
      </c>
    </row>
    <row r="2568" spans="1:23" x14ac:dyDescent="0.35">
      <c r="A2568" s="7">
        <v>46032</v>
      </c>
      <c r="P2568" s="26">
        <v>89.56</v>
      </c>
      <c r="Q2568" s="26"/>
      <c r="R2568" s="26">
        <v>92.1</v>
      </c>
      <c r="S2568" s="26">
        <v>94.98</v>
      </c>
      <c r="T2568" s="26">
        <v>91.24</v>
      </c>
      <c r="U2568" s="26">
        <v>94.04</v>
      </c>
      <c r="V2568" s="26"/>
      <c r="W2568" s="26">
        <v>98.31</v>
      </c>
    </row>
    <row r="2569" spans="1:23" x14ac:dyDescent="0.35">
      <c r="A2569" s="7">
        <v>46033</v>
      </c>
      <c r="P2569" s="26">
        <v>89.56</v>
      </c>
      <c r="Q2569" s="26"/>
      <c r="R2569" s="26">
        <v>92.1</v>
      </c>
      <c r="S2569" s="26">
        <v>94.98</v>
      </c>
      <c r="T2569" s="26">
        <v>91.24</v>
      </c>
      <c r="U2569" s="26">
        <v>94.04</v>
      </c>
      <c r="V2569" s="26"/>
      <c r="W2569" s="26">
        <v>98.31</v>
      </c>
    </row>
    <row r="2570" spans="1:23" x14ac:dyDescent="0.35">
      <c r="A2570" s="7">
        <v>46034</v>
      </c>
      <c r="P2570" s="26">
        <v>90.1</v>
      </c>
      <c r="Q2570" s="26"/>
      <c r="R2570" s="26">
        <v>92.64</v>
      </c>
      <c r="S2570" s="26">
        <v>95.52</v>
      </c>
      <c r="T2570" s="26">
        <v>91.82</v>
      </c>
      <c r="U2570" s="26">
        <v>94.58</v>
      </c>
      <c r="V2570" s="26"/>
      <c r="W2570" s="26">
        <v>98.83</v>
      </c>
    </row>
    <row r="2571" spans="1:23" x14ac:dyDescent="0.35">
      <c r="A2571" s="7">
        <v>46035</v>
      </c>
      <c r="P2571" s="26">
        <v>90.74</v>
      </c>
      <c r="Q2571" s="26"/>
      <c r="R2571" s="26">
        <v>93.28</v>
      </c>
      <c r="S2571" s="26">
        <v>96.17</v>
      </c>
      <c r="T2571" s="26">
        <v>92.45</v>
      </c>
      <c r="U2571" s="26">
        <v>95.23</v>
      </c>
      <c r="V2571" s="26"/>
      <c r="W2571" s="26">
        <v>99.46</v>
      </c>
    </row>
    <row r="2572" spans="1:23" x14ac:dyDescent="0.35">
      <c r="A2572" s="7">
        <v>46036</v>
      </c>
      <c r="P2572" s="26">
        <v>91.82</v>
      </c>
      <c r="Q2572" s="26"/>
      <c r="R2572" s="26">
        <v>94.37</v>
      </c>
      <c r="S2572" s="26">
        <v>97.27</v>
      </c>
      <c r="T2572" s="26">
        <v>93.53</v>
      </c>
      <c r="U2572" s="26">
        <v>96.33</v>
      </c>
      <c r="V2572" s="26"/>
      <c r="W2572" s="26">
        <v>100.54</v>
      </c>
    </row>
    <row r="2573" spans="1:23" x14ac:dyDescent="0.35">
      <c r="A2573" s="7">
        <v>46037</v>
      </c>
      <c r="P2573" s="26">
        <v>92.24</v>
      </c>
      <c r="Q2573" s="26"/>
      <c r="R2573" s="26">
        <v>94.8</v>
      </c>
      <c r="S2573" s="26">
        <v>97.73</v>
      </c>
      <c r="T2573" s="26">
        <v>93.96</v>
      </c>
      <c r="U2573" s="26">
        <v>96.78</v>
      </c>
      <c r="V2573" s="26"/>
      <c r="W2573" s="26">
        <v>101.04</v>
      </c>
    </row>
    <row r="2574" spans="1:23" x14ac:dyDescent="0.35">
      <c r="A2574" s="7">
        <v>46038</v>
      </c>
      <c r="P2574" s="26">
        <v>92.04</v>
      </c>
      <c r="Q2574" s="26"/>
      <c r="R2574" s="26">
        <v>94.62</v>
      </c>
      <c r="S2574" s="26">
        <v>97.55</v>
      </c>
      <c r="T2574" s="26">
        <v>93.77</v>
      </c>
      <c r="U2574" s="26">
        <v>96.6</v>
      </c>
      <c r="V2574" s="26"/>
      <c r="W2574" s="26">
        <v>100.87</v>
      </c>
    </row>
    <row r="2575" spans="1:23" x14ac:dyDescent="0.35">
      <c r="A2575" s="7">
        <v>46039</v>
      </c>
      <c r="P2575" s="26">
        <v>92.04</v>
      </c>
      <c r="Q2575" s="26"/>
      <c r="R2575" s="26">
        <v>94.62</v>
      </c>
      <c r="S2575" s="26">
        <v>97.55</v>
      </c>
      <c r="T2575" s="26">
        <v>93.77</v>
      </c>
      <c r="U2575" s="26">
        <v>96.6</v>
      </c>
      <c r="V2575" s="26"/>
      <c r="W2575" s="26">
        <v>100.87</v>
      </c>
    </row>
    <row r="2576" spans="1:23" x14ac:dyDescent="0.35">
      <c r="A2576" s="7">
        <v>46040</v>
      </c>
      <c r="P2576" s="26">
        <v>92.04</v>
      </c>
      <c r="Q2576" s="26"/>
      <c r="R2576" s="26">
        <v>94.62</v>
      </c>
      <c r="S2576" s="26">
        <v>97.55</v>
      </c>
      <c r="T2576" s="26">
        <v>93.77</v>
      </c>
      <c r="U2576" s="26">
        <v>96.6</v>
      </c>
      <c r="V2576" s="26"/>
      <c r="W2576" s="26">
        <v>100.87</v>
      </c>
    </row>
    <row r="2577" spans="1:23" x14ac:dyDescent="0.35">
      <c r="A2577" s="7">
        <v>46041</v>
      </c>
      <c r="P2577" s="26">
        <v>88.14</v>
      </c>
      <c r="Q2577" s="26"/>
      <c r="R2577" s="26">
        <v>90.64</v>
      </c>
      <c r="S2577" s="26">
        <v>93.5</v>
      </c>
      <c r="T2577" s="26">
        <v>89.84</v>
      </c>
      <c r="U2577" s="26">
        <v>92.59</v>
      </c>
      <c r="V2577" s="26"/>
      <c r="W2577" s="26">
        <v>96.74</v>
      </c>
    </row>
    <row r="2578" spans="1:23" x14ac:dyDescent="0.35">
      <c r="A2578" s="7">
        <v>46042</v>
      </c>
      <c r="P2578" s="26">
        <v>84.96</v>
      </c>
      <c r="Q2578" s="26"/>
      <c r="R2578" s="26">
        <v>87.4</v>
      </c>
      <c r="S2578" s="26">
        <v>90.14</v>
      </c>
      <c r="T2578" s="26">
        <v>86.62</v>
      </c>
      <c r="U2578" s="26">
        <v>89.26</v>
      </c>
      <c r="V2578" s="26"/>
      <c r="W2578" s="26">
        <v>93.24</v>
      </c>
    </row>
    <row r="2579" spans="1:23" x14ac:dyDescent="0.35">
      <c r="A2579" s="7">
        <v>46043</v>
      </c>
      <c r="P2579" s="26">
        <v>87.06</v>
      </c>
      <c r="Q2579" s="26"/>
      <c r="R2579" s="26">
        <v>89.5</v>
      </c>
      <c r="S2579" s="26">
        <v>92.27</v>
      </c>
      <c r="T2579" s="26">
        <v>88.71</v>
      </c>
      <c r="U2579" s="26">
        <v>91.38</v>
      </c>
      <c r="V2579" s="26"/>
      <c r="W2579" s="26">
        <v>95.42</v>
      </c>
    </row>
    <row r="2580" spans="1:23" x14ac:dyDescent="0.35">
      <c r="A2580" s="7">
        <v>46044</v>
      </c>
      <c r="P2580" s="26">
        <v>88.47</v>
      </c>
      <c r="Q2580" s="26"/>
      <c r="R2580" s="26">
        <v>90.94</v>
      </c>
      <c r="S2580" s="26">
        <v>93.79</v>
      </c>
      <c r="T2580" s="26">
        <v>90.14</v>
      </c>
      <c r="U2580" s="26">
        <v>92.86</v>
      </c>
      <c r="V2580" s="26"/>
      <c r="W2580" s="26">
        <v>97.04</v>
      </c>
    </row>
    <row r="2581" spans="1:23" x14ac:dyDescent="0.35">
      <c r="A2581" s="7">
        <v>46045</v>
      </c>
      <c r="P2581" s="26">
        <v>88.4</v>
      </c>
      <c r="Q2581" s="26"/>
      <c r="R2581" s="26">
        <v>90.87</v>
      </c>
      <c r="S2581" s="26">
        <v>93.71</v>
      </c>
      <c r="T2581" s="26">
        <v>90.05</v>
      </c>
      <c r="U2581" s="26">
        <v>92.78</v>
      </c>
      <c r="V2581" s="26"/>
      <c r="W2581" s="26">
        <v>96.86</v>
      </c>
    </row>
    <row r="2582" spans="1:23" x14ac:dyDescent="0.35">
      <c r="A2582" s="7">
        <v>46046</v>
      </c>
      <c r="P2582" s="26">
        <v>88.4</v>
      </c>
      <c r="Q2582" s="26"/>
      <c r="R2582" s="26">
        <v>90.87</v>
      </c>
      <c r="S2582" s="26">
        <v>93.71</v>
      </c>
      <c r="T2582" s="26">
        <v>90.05</v>
      </c>
      <c r="U2582" s="26">
        <v>92.78</v>
      </c>
      <c r="V2582" s="26"/>
      <c r="W2582" s="26">
        <v>96.86</v>
      </c>
    </row>
    <row r="2583" spans="1:23" x14ac:dyDescent="0.35">
      <c r="A2583" s="7">
        <v>46047</v>
      </c>
      <c r="P2583" s="26">
        <v>88.4</v>
      </c>
      <c r="Q2583" s="26"/>
      <c r="R2583" s="26">
        <v>90.87</v>
      </c>
      <c r="S2583" s="26">
        <v>93.71</v>
      </c>
      <c r="T2583" s="26">
        <v>90.05</v>
      </c>
      <c r="U2583" s="26">
        <v>92.78</v>
      </c>
      <c r="V2583" s="26"/>
      <c r="W2583" s="26">
        <v>96.86</v>
      </c>
    </row>
    <row r="2584" spans="1:23" x14ac:dyDescent="0.35">
      <c r="A2584" s="7">
        <v>46048</v>
      </c>
      <c r="P2584" s="26">
        <v>87.13</v>
      </c>
      <c r="Q2584" s="26"/>
      <c r="R2584" s="26">
        <v>89.59</v>
      </c>
      <c r="S2584" s="26">
        <v>92.39</v>
      </c>
      <c r="T2584" s="26">
        <v>88.78</v>
      </c>
      <c r="U2584" s="26">
        <v>91.48</v>
      </c>
      <c r="V2584" s="26"/>
      <c r="W2584" s="26">
        <v>95.58</v>
      </c>
    </row>
    <row r="2585" spans="1:23" x14ac:dyDescent="0.35">
      <c r="A2585" s="7">
        <v>46049</v>
      </c>
      <c r="P2585" s="26">
        <v>88.37</v>
      </c>
      <c r="Q2585" s="26"/>
      <c r="R2585" s="26">
        <v>90.84</v>
      </c>
      <c r="S2585" s="26">
        <v>93.64</v>
      </c>
      <c r="T2585" s="26">
        <v>90.03</v>
      </c>
      <c r="U2585" s="26">
        <v>92.73</v>
      </c>
      <c r="V2585" s="26"/>
      <c r="W2585" s="26">
        <v>96.86</v>
      </c>
    </row>
    <row r="2586" spans="1:23" x14ac:dyDescent="0.35">
      <c r="A2586" s="7">
        <v>46050</v>
      </c>
      <c r="P2586" s="26">
        <v>86.54</v>
      </c>
      <c r="Q2586" s="26"/>
      <c r="R2586" s="26">
        <v>88.98</v>
      </c>
      <c r="S2586" s="26">
        <v>91.73</v>
      </c>
      <c r="T2586" s="26">
        <v>88.17</v>
      </c>
      <c r="U2586" s="26">
        <v>90.83</v>
      </c>
      <c r="V2586" s="26"/>
      <c r="W2586" s="26">
        <v>94.83</v>
      </c>
    </row>
    <row r="2587" spans="1:23" x14ac:dyDescent="0.35">
      <c r="A2587" s="7">
        <v>46051</v>
      </c>
      <c r="P2587" s="26">
        <v>83.98</v>
      </c>
      <c r="Q2587" s="26"/>
      <c r="R2587" s="26">
        <v>86.33</v>
      </c>
      <c r="S2587" s="26">
        <v>88.95</v>
      </c>
      <c r="T2587" s="26">
        <v>85.55</v>
      </c>
      <c r="U2587" s="26">
        <v>88.08</v>
      </c>
      <c r="V2587" s="26"/>
      <c r="W2587" s="26">
        <v>92</v>
      </c>
    </row>
    <row r="2588" spans="1:23" x14ac:dyDescent="0.35">
      <c r="A2588" s="7">
        <v>46052</v>
      </c>
      <c r="P2588" s="26">
        <v>81.260000000000005</v>
      </c>
      <c r="Q2588" s="26"/>
      <c r="R2588" s="26">
        <v>83.56</v>
      </c>
      <c r="S2588" s="26">
        <v>86.12</v>
      </c>
      <c r="T2588" s="26">
        <v>82.79</v>
      </c>
      <c r="U2588" s="26">
        <v>85.27</v>
      </c>
      <c r="V2588" s="26"/>
      <c r="W2588" s="26">
        <v>89.1</v>
      </c>
    </row>
    <row r="2589" spans="1:23" x14ac:dyDescent="0.35">
      <c r="A2589" s="7">
        <v>46053</v>
      </c>
      <c r="P2589" s="26">
        <v>81.260000000000005</v>
      </c>
      <c r="Q2589" s="26"/>
      <c r="R2589" s="26">
        <v>83.56</v>
      </c>
      <c r="S2589" s="26">
        <v>86.12</v>
      </c>
      <c r="T2589" s="26">
        <v>82.79</v>
      </c>
      <c r="U2589" s="26">
        <v>85.27</v>
      </c>
      <c r="V2589" s="26"/>
      <c r="W2589" s="26">
        <v>89.1</v>
      </c>
    </row>
    <row r="2590" spans="1:23" x14ac:dyDescent="0.35">
      <c r="A2590" s="7">
        <v>46054</v>
      </c>
      <c r="P2590" s="26">
        <v>81.260000000000005</v>
      </c>
      <c r="Q2590" s="26"/>
      <c r="R2590" s="26">
        <v>83.56</v>
      </c>
      <c r="S2590" s="26">
        <v>86.12</v>
      </c>
      <c r="T2590" s="26">
        <v>82.79</v>
      </c>
      <c r="U2590" s="26">
        <v>85.27</v>
      </c>
      <c r="V2590" s="26"/>
      <c r="W2590" s="26">
        <v>89.1</v>
      </c>
    </row>
    <row r="2591" spans="1:23" x14ac:dyDescent="0.35">
      <c r="A2591" s="7">
        <v>46055</v>
      </c>
      <c r="P2591" s="26">
        <v>83.28</v>
      </c>
      <c r="Q2591" s="26"/>
      <c r="R2591" s="26">
        <v>85.61</v>
      </c>
      <c r="S2591" s="26">
        <v>88.25</v>
      </c>
      <c r="T2591" s="26">
        <v>84.83</v>
      </c>
      <c r="U2591" s="26">
        <v>87.36</v>
      </c>
      <c r="V2591" s="26"/>
      <c r="W2591" s="26">
        <v>91.28</v>
      </c>
    </row>
    <row r="2592" spans="1:23" x14ac:dyDescent="0.35">
      <c r="A2592" s="7">
        <v>46056</v>
      </c>
      <c r="P2592" s="26">
        <v>83.11</v>
      </c>
      <c r="Q2592" s="26"/>
      <c r="R2592" s="26">
        <v>85.45</v>
      </c>
      <c r="S2592" s="26">
        <v>88.1</v>
      </c>
      <c r="T2592" s="26">
        <v>84.67</v>
      </c>
      <c r="U2592" s="26">
        <v>87.21</v>
      </c>
      <c r="V2592" s="26"/>
      <c r="W2592" s="26">
        <v>91.12</v>
      </c>
    </row>
    <row r="2593" spans="1:23" x14ac:dyDescent="0.35">
      <c r="A2593" s="7">
        <v>46057</v>
      </c>
      <c r="P2593" s="26">
        <v>82.92</v>
      </c>
      <c r="Q2593" s="26"/>
      <c r="R2593" s="26">
        <v>85.22</v>
      </c>
      <c r="S2593" s="26">
        <v>87.82</v>
      </c>
      <c r="T2593" s="26">
        <v>84.44</v>
      </c>
      <c r="U2593" s="26">
        <v>86.94</v>
      </c>
      <c r="V2593" s="26"/>
      <c r="W2593" s="26">
        <v>90.84</v>
      </c>
    </row>
    <row r="2594" spans="1:23" x14ac:dyDescent="0.35">
      <c r="A2594" s="7">
        <v>46058</v>
      </c>
      <c r="P2594" s="26">
        <v>78.2</v>
      </c>
      <c r="Q2594" s="26"/>
      <c r="R2594" s="26">
        <v>80.38</v>
      </c>
      <c r="S2594" s="26">
        <v>82.83</v>
      </c>
      <c r="T2594" s="26">
        <v>79.650000000000006</v>
      </c>
      <c r="U2594" s="26">
        <v>82.01</v>
      </c>
      <c r="V2594" s="26"/>
      <c r="W2594" s="26">
        <v>85.68</v>
      </c>
    </row>
    <row r="2595" spans="1:23" x14ac:dyDescent="0.35">
      <c r="A2595" s="7">
        <v>46059</v>
      </c>
      <c r="P2595" s="26">
        <v>78.73</v>
      </c>
      <c r="Q2595" s="26"/>
      <c r="R2595" s="26">
        <v>80.88</v>
      </c>
      <c r="S2595" s="26">
        <v>83.37</v>
      </c>
      <c r="T2595" s="26">
        <v>80.16</v>
      </c>
      <c r="U2595" s="26">
        <v>82.54</v>
      </c>
      <c r="V2595" s="26"/>
      <c r="W2595" s="26">
        <v>86.18</v>
      </c>
    </row>
    <row r="2596" spans="1:23" x14ac:dyDescent="0.35">
      <c r="A2596" s="7">
        <v>46060</v>
      </c>
      <c r="P2596" s="26">
        <v>78.73</v>
      </c>
      <c r="Q2596" s="26"/>
      <c r="R2596" s="26">
        <v>80.88</v>
      </c>
      <c r="S2596" s="26">
        <v>83.37</v>
      </c>
      <c r="T2596" s="26">
        <v>80.16</v>
      </c>
      <c r="U2596" s="26">
        <v>82.54</v>
      </c>
      <c r="V2596" s="26"/>
      <c r="W2596" s="26">
        <v>86.18</v>
      </c>
    </row>
    <row r="2597" spans="1:23" x14ac:dyDescent="0.35">
      <c r="A2597" s="7">
        <v>46061</v>
      </c>
      <c r="P2597" s="26">
        <v>78.73</v>
      </c>
      <c r="Q2597" s="26"/>
      <c r="R2597" s="26">
        <v>80.88</v>
      </c>
      <c r="S2597" s="26">
        <v>83.37</v>
      </c>
      <c r="T2597" s="26">
        <v>80.16</v>
      </c>
      <c r="U2597" s="26">
        <v>82.54</v>
      </c>
      <c r="V2597" s="26"/>
      <c r="W2597" s="26">
        <v>86.18</v>
      </c>
    </row>
    <row r="2598" spans="1:23" x14ac:dyDescent="0.35">
      <c r="A2598" s="7">
        <v>46062</v>
      </c>
      <c r="P2598" s="26">
        <v>81.349999999999994</v>
      </c>
      <c r="Q2598" s="26"/>
      <c r="R2598" s="26">
        <v>83.55</v>
      </c>
      <c r="S2598" s="26">
        <v>86.06</v>
      </c>
      <c r="T2598" s="26">
        <v>82.81</v>
      </c>
      <c r="U2598" s="26">
        <v>85.22</v>
      </c>
      <c r="V2598" s="26"/>
      <c r="W2598" s="26">
        <v>88.94</v>
      </c>
    </row>
    <row r="2599" spans="1:23" x14ac:dyDescent="0.35">
      <c r="A2599" s="7">
        <v>46063</v>
      </c>
      <c r="P2599" s="26">
        <v>78.86</v>
      </c>
      <c r="Q2599" s="26"/>
      <c r="R2599" s="26">
        <v>81.010000000000005</v>
      </c>
      <c r="S2599" s="26">
        <v>83.44</v>
      </c>
      <c r="T2599" s="26">
        <v>80.31</v>
      </c>
      <c r="U2599" s="26">
        <v>82.63</v>
      </c>
      <c r="V2599" s="26"/>
      <c r="W2599" s="26">
        <v>86.32</v>
      </c>
    </row>
    <row r="2600" spans="1:23" x14ac:dyDescent="0.35">
      <c r="A2600" s="7">
        <v>46064</v>
      </c>
      <c r="P2600" s="26">
        <v>78.45</v>
      </c>
      <c r="Q2600" s="26"/>
      <c r="R2600" s="26">
        <v>80.599999999999994</v>
      </c>
      <c r="S2600" s="26">
        <v>83.02</v>
      </c>
      <c r="T2600" s="26">
        <v>79.89</v>
      </c>
      <c r="U2600" s="26">
        <v>82.22</v>
      </c>
      <c r="V2600" s="26"/>
      <c r="W2600" s="26">
        <v>85.77</v>
      </c>
    </row>
    <row r="2601" spans="1:23" x14ac:dyDescent="0.35">
      <c r="A2601" s="7">
        <v>46065</v>
      </c>
      <c r="P2601" s="26">
        <v>72.540000000000006</v>
      </c>
      <c r="Q2601" s="26"/>
      <c r="R2601" s="26">
        <v>74.540000000000006</v>
      </c>
      <c r="S2601" s="26">
        <v>76.83</v>
      </c>
      <c r="T2601" s="26">
        <v>73.89</v>
      </c>
      <c r="U2601" s="26">
        <v>76.09</v>
      </c>
      <c r="V2601" s="26"/>
      <c r="W2601" s="26">
        <v>79.48</v>
      </c>
    </row>
    <row r="2602" spans="1:23" x14ac:dyDescent="0.35">
      <c r="A2602" s="7">
        <v>46066</v>
      </c>
      <c r="P2602" s="26">
        <v>70.680000000000007</v>
      </c>
      <c r="Q2602" s="26"/>
      <c r="R2602" s="26">
        <v>72.62</v>
      </c>
      <c r="S2602" s="26">
        <v>74.819999999999993</v>
      </c>
      <c r="T2602" s="26">
        <v>71.97</v>
      </c>
      <c r="U2602" s="26">
        <v>74.12</v>
      </c>
      <c r="V2602" s="26"/>
      <c r="W2602" s="26">
        <v>77.39</v>
      </c>
    </row>
    <row r="2603" spans="1:23" x14ac:dyDescent="0.35">
      <c r="A2603" s="7">
        <v>46067</v>
      </c>
      <c r="P2603" s="26">
        <v>70.680000000000007</v>
      </c>
      <c r="Q2603" s="26"/>
      <c r="R2603" s="26">
        <v>72.62</v>
      </c>
      <c r="S2603" s="26">
        <v>74.819999999999993</v>
      </c>
      <c r="T2603" s="26">
        <v>71.97</v>
      </c>
      <c r="U2603" s="26">
        <v>74.12</v>
      </c>
      <c r="V2603" s="26"/>
      <c r="W2603" s="26">
        <v>77.39</v>
      </c>
    </row>
    <row r="2604" spans="1:23" x14ac:dyDescent="0.35">
      <c r="A2604" s="7">
        <v>46068</v>
      </c>
      <c r="P2604" s="26">
        <v>70.680000000000007</v>
      </c>
      <c r="Q2604" s="26"/>
      <c r="R2604" s="26">
        <v>72.62</v>
      </c>
      <c r="S2604" s="26">
        <v>74.819999999999993</v>
      </c>
      <c r="T2604" s="26">
        <v>71.97</v>
      </c>
      <c r="U2604" s="26">
        <v>74.12</v>
      </c>
      <c r="V2604" s="26"/>
      <c r="W2604" s="26">
        <v>77.39</v>
      </c>
    </row>
    <row r="2605" spans="1:23" x14ac:dyDescent="0.35">
      <c r="A2605" s="7">
        <v>46069</v>
      </c>
      <c r="P2605" s="26">
        <v>69.180000000000007</v>
      </c>
      <c r="Q2605" s="26"/>
      <c r="R2605" s="26">
        <v>71.09</v>
      </c>
      <c r="S2605" s="26">
        <v>73.28</v>
      </c>
      <c r="T2605" s="26">
        <v>70.45</v>
      </c>
      <c r="U2605" s="26">
        <v>72.58</v>
      </c>
      <c r="V2605" s="26"/>
      <c r="W2605" s="26">
        <v>75.83</v>
      </c>
    </row>
    <row r="2606" spans="1:23" x14ac:dyDescent="0.35">
      <c r="A2606" s="7">
        <v>46070</v>
      </c>
      <c r="P2606" s="26">
        <v>70.08</v>
      </c>
      <c r="Q2606" s="26"/>
      <c r="R2606" s="26">
        <v>72.02</v>
      </c>
      <c r="S2606" s="26">
        <v>74.23</v>
      </c>
      <c r="T2606" s="26">
        <v>71.38</v>
      </c>
      <c r="U2606" s="26">
        <v>73.52</v>
      </c>
      <c r="V2606" s="26"/>
      <c r="W2606" s="26">
        <v>76.760000000000005</v>
      </c>
    </row>
    <row r="2607" spans="1:23" x14ac:dyDescent="0.35">
      <c r="A2607" s="7">
        <v>46071</v>
      </c>
      <c r="P2607" s="26">
        <v>71.569999999999993</v>
      </c>
      <c r="Q2607" s="26"/>
      <c r="R2607" s="26">
        <v>73.569999999999993</v>
      </c>
      <c r="S2607" s="26">
        <v>75.83</v>
      </c>
      <c r="T2607" s="26">
        <v>72.92</v>
      </c>
      <c r="U2607" s="26">
        <v>75.069999999999993</v>
      </c>
      <c r="V2607" s="26"/>
      <c r="W2607" s="26">
        <v>78.59</v>
      </c>
    </row>
    <row r="2608" spans="1:23" x14ac:dyDescent="0.35">
      <c r="A2608" s="7">
        <v>46072</v>
      </c>
      <c r="P2608" s="26">
        <v>71.34</v>
      </c>
      <c r="Q2608" s="26"/>
      <c r="R2608" s="26">
        <v>73.36</v>
      </c>
      <c r="S2608" s="26">
        <v>75.599999999999994</v>
      </c>
      <c r="T2608" s="26">
        <v>72.709999999999994</v>
      </c>
      <c r="U2608" s="26">
        <v>74.849999999999994</v>
      </c>
      <c r="V2608" s="26"/>
      <c r="W2608" s="26">
        <v>78.36</v>
      </c>
    </row>
    <row r="2609" spans="1:23" x14ac:dyDescent="0.35">
      <c r="A2609" s="7">
        <v>46073</v>
      </c>
      <c r="P2609" s="26">
        <v>73.78</v>
      </c>
      <c r="Q2609" s="26"/>
      <c r="R2609" s="26">
        <v>75.819999999999993</v>
      </c>
      <c r="S2609" s="26">
        <v>78.14</v>
      </c>
      <c r="T2609" s="26">
        <v>75.180000000000007</v>
      </c>
      <c r="U2609" s="26">
        <v>77.36</v>
      </c>
      <c r="V2609" s="26"/>
      <c r="W2609" s="26">
        <v>80.88</v>
      </c>
    </row>
    <row r="2610" spans="1:23" x14ac:dyDescent="0.35">
      <c r="A2610" s="7">
        <v>46074</v>
      </c>
      <c r="P2610" s="26">
        <v>73.78</v>
      </c>
      <c r="Q2610" s="26"/>
      <c r="R2610" s="26">
        <v>75.819999999999993</v>
      </c>
      <c r="S2610" s="26">
        <v>78.14</v>
      </c>
      <c r="T2610" s="26">
        <v>75.180000000000007</v>
      </c>
      <c r="U2610" s="26">
        <v>77.36</v>
      </c>
      <c r="V2610" s="26"/>
      <c r="W2610" s="26">
        <v>80.88</v>
      </c>
    </row>
    <row r="2611" spans="1:23" x14ac:dyDescent="0.35">
      <c r="A2611" s="7">
        <v>46075</v>
      </c>
      <c r="P2611" s="26">
        <v>73.78</v>
      </c>
      <c r="Q2611" s="26"/>
      <c r="R2611" s="26">
        <v>75.819999999999993</v>
      </c>
      <c r="S2611" s="26">
        <v>78.14</v>
      </c>
      <c r="T2611" s="26">
        <v>75.180000000000007</v>
      </c>
      <c r="U2611" s="26">
        <v>77.36</v>
      </c>
      <c r="V2611" s="26"/>
      <c r="W2611" s="26">
        <v>80.88</v>
      </c>
    </row>
    <row r="2612" spans="1:23" x14ac:dyDescent="0.35">
      <c r="A2612" s="7">
        <v>46076</v>
      </c>
      <c r="P2612" s="26">
        <v>71.38</v>
      </c>
      <c r="Q2612" s="26"/>
      <c r="R2612" s="26">
        <v>73.38</v>
      </c>
      <c r="S2612" s="26">
        <v>75.599999999999994</v>
      </c>
      <c r="T2612" s="26">
        <v>72.739999999999995</v>
      </c>
      <c r="U2612" s="26">
        <v>74.86</v>
      </c>
      <c r="V2612" s="26"/>
      <c r="W2612" s="26">
        <v>78.150000000000006</v>
      </c>
    </row>
    <row r="2613" spans="1:23" x14ac:dyDescent="0.35">
      <c r="A2613" s="7">
        <v>46077</v>
      </c>
      <c r="P2613" s="26">
        <v>70.67</v>
      </c>
      <c r="Q2613" s="26"/>
      <c r="R2613" s="26">
        <v>72.63</v>
      </c>
      <c r="S2613" s="26">
        <v>74.78</v>
      </c>
      <c r="T2613" s="26">
        <v>72</v>
      </c>
      <c r="U2613" s="26">
        <v>74.069999999999993</v>
      </c>
      <c r="V2613" s="26"/>
      <c r="W2613" s="26">
        <v>77.36</v>
      </c>
    </row>
    <row r="2614" spans="1:23" x14ac:dyDescent="0.35">
      <c r="A2614" s="7">
        <v>46078</v>
      </c>
      <c r="P2614" s="26">
        <v>72.58</v>
      </c>
      <c r="Q2614" s="26"/>
      <c r="R2614" s="26">
        <v>74.59</v>
      </c>
      <c r="S2614" s="26">
        <v>76.790000000000006</v>
      </c>
      <c r="T2614" s="26">
        <v>73.930000000000007</v>
      </c>
      <c r="U2614" s="26">
        <v>76.06</v>
      </c>
      <c r="V2614" s="26"/>
      <c r="W2614" s="26">
        <v>79.37</v>
      </c>
    </row>
    <row r="2615" spans="1:23" x14ac:dyDescent="0.35">
      <c r="A2615" s="7">
        <v>46079</v>
      </c>
      <c r="P2615" s="26">
        <v>70.97</v>
      </c>
      <c r="Q2615" s="26"/>
      <c r="R2615" s="26">
        <v>72.930000000000007</v>
      </c>
      <c r="S2615" s="26">
        <v>75.12</v>
      </c>
      <c r="T2615" s="26">
        <v>72.28</v>
      </c>
      <c r="U2615" s="26">
        <v>74.400000000000006</v>
      </c>
      <c r="V2615" s="26"/>
      <c r="W2615" s="26">
        <v>77.72</v>
      </c>
    </row>
    <row r="2616" spans="1:23" x14ac:dyDescent="0.35">
      <c r="A2616" s="7">
        <v>46080</v>
      </c>
      <c r="P2616" s="26">
        <v>70.290000000000006</v>
      </c>
      <c r="Q2616" s="26"/>
      <c r="R2616" s="26">
        <v>72.25</v>
      </c>
      <c r="S2616" s="26">
        <v>74.400000000000006</v>
      </c>
      <c r="T2616" s="26">
        <v>71.59</v>
      </c>
      <c r="U2616" s="26">
        <v>73.7</v>
      </c>
      <c r="V2616" s="26"/>
      <c r="W2616" s="26">
        <v>76.89</v>
      </c>
    </row>
    <row r="2617" spans="1:23" x14ac:dyDescent="0.35">
      <c r="A2617" s="7">
        <v>46081</v>
      </c>
      <c r="P2617" s="26">
        <v>70.290000000000006</v>
      </c>
      <c r="Q2617" s="26"/>
      <c r="R2617" s="26">
        <v>72.25</v>
      </c>
      <c r="S2617" s="26">
        <v>74.400000000000006</v>
      </c>
      <c r="T2617" s="26">
        <v>71.59</v>
      </c>
      <c r="U2617" s="26">
        <v>73.7</v>
      </c>
      <c r="V2617" s="26"/>
      <c r="W2617" s="26">
        <v>76.89</v>
      </c>
    </row>
    <row r="2618" spans="1:23" x14ac:dyDescent="0.35">
      <c r="A2618" s="7">
        <v>46082</v>
      </c>
      <c r="P2618" s="26">
        <v>70.290000000000006</v>
      </c>
      <c r="Q2618" s="26"/>
      <c r="R2618" s="26">
        <v>72.25</v>
      </c>
      <c r="S2618" s="26">
        <v>74.400000000000006</v>
      </c>
      <c r="T2618" s="26">
        <v>71.59</v>
      </c>
      <c r="U2618" s="26">
        <v>73.7</v>
      </c>
      <c r="V2618" s="26"/>
      <c r="W2618" s="26">
        <v>76.89</v>
      </c>
    </row>
    <row r="2619" spans="1:23" x14ac:dyDescent="0.35">
      <c r="A2619" s="7">
        <v>46083</v>
      </c>
      <c r="P2619" s="26">
        <v>70.569999999999993</v>
      </c>
      <c r="Q2619" s="26"/>
      <c r="R2619" s="26">
        <v>72.56</v>
      </c>
      <c r="S2619" s="26">
        <v>74.709999999999994</v>
      </c>
      <c r="T2619" s="26">
        <v>71.900000000000006</v>
      </c>
      <c r="U2619" s="26">
        <v>73.989999999999995</v>
      </c>
      <c r="V2619" s="26"/>
      <c r="W2619" s="26">
        <v>77.2</v>
      </c>
    </row>
    <row r="2620" spans="1:23" x14ac:dyDescent="0.35">
      <c r="A2620" s="7">
        <v>46084</v>
      </c>
      <c r="P2620" s="26">
        <v>73.33</v>
      </c>
      <c r="Q2620" s="26"/>
      <c r="R2620" s="26">
        <v>75.5</v>
      </c>
      <c r="S2620" s="26">
        <v>77.87</v>
      </c>
      <c r="T2620" s="26">
        <v>74.78</v>
      </c>
      <c r="U2620" s="26">
        <v>77.09</v>
      </c>
      <c r="V2620" s="26"/>
      <c r="W2620" s="26">
        <v>80.760000000000005</v>
      </c>
    </row>
    <row r="2621" spans="1:23" x14ac:dyDescent="0.35">
      <c r="A2621" s="7">
        <v>46085</v>
      </c>
      <c r="P2621" s="26">
        <v>70.760000000000005</v>
      </c>
      <c r="Q2621" s="26"/>
      <c r="R2621" s="26">
        <v>72.83</v>
      </c>
      <c r="S2621" s="26">
        <v>75.09</v>
      </c>
      <c r="T2621" s="26">
        <v>72.14</v>
      </c>
      <c r="U2621" s="26">
        <v>74.36</v>
      </c>
      <c r="V2621" s="26"/>
      <c r="W2621" s="26">
        <v>77.7</v>
      </c>
    </row>
    <row r="2622" spans="1:23" x14ac:dyDescent="0.35">
      <c r="A2622" s="7">
        <v>46086</v>
      </c>
      <c r="P2622" s="26">
        <v>70.349999999999994</v>
      </c>
      <c r="Q2622" s="26"/>
      <c r="R2622" s="26">
        <v>72.459999999999994</v>
      </c>
      <c r="S2622" s="26">
        <v>74.739999999999995</v>
      </c>
      <c r="T2622" s="26">
        <v>71.75</v>
      </c>
      <c r="U2622" s="26">
        <v>74.010000000000005</v>
      </c>
      <c r="V2622" s="26"/>
      <c r="W2622" s="26">
        <v>77.319999999999993</v>
      </c>
    </row>
    <row r="2623" spans="1:23" x14ac:dyDescent="0.35">
      <c r="A2623" s="7">
        <v>46087</v>
      </c>
      <c r="P2623" s="26">
        <v>70.569999999999993</v>
      </c>
      <c r="Q2623" s="26"/>
      <c r="R2623" s="26">
        <v>72.78</v>
      </c>
      <c r="S2623" s="26">
        <v>75.14</v>
      </c>
      <c r="T2623" s="26">
        <v>72.040000000000006</v>
      </c>
      <c r="U2623" s="26">
        <v>74.39</v>
      </c>
      <c r="V2623" s="26"/>
      <c r="W2623" s="26">
        <v>77.8</v>
      </c>
    </row>
    <row r="2624" spans="1:23" x14ac:dyDescent="0.35">
      <c r="A2624" s="7">
        <v>46088</v>
      </c>
      <c r="P2624" s="26">
        <v>70.569999999999993</v>
      </c>
      <c r="Q2624" s="26"/>
      <c r="R2624" s="26">
        <v>72.78</v>
      </c>
      <c r="S2624" s="26">
        <v>75.14</v>
      </c>
      <c r="T2624" s="26">
        <v>72.040000000000006</v>
      </c>
      <c r="U2624" s="26">
        <v>74.39</v>
      </c>
      <c r="V2624" s="26"/>
      <c r="W2624" s="26">
        <v>77.8</v>
      </c>
    </row>
    <row r="2625" spans="1:23" x14ac:dyDescent="0.35">
      <c r="A2625" s="7">
        <v>46089</v>
      </c>
      <c r="P2625" s="26">
        <v>70.569999999999993</v>
      </c>
      <c r="Q2625" s="26"/>
      <c r="R2625" s="26">
        <v>72.78</v>
      </c>
      <c r="S2625" s="26">
        <v>75.14</v>
      </c>
      <c r="T2625" s="26">
        <v>72.040000000000006</v>
      </c>
      <c r="U2625" s="26">
        <v>74.39</v>
      </c>
      <c r="V2625" s="26"/>
      <c r="W2625" s="26">
        <v>77.8</v>
      </c>
    </row>
    <row r="2626" spans="1:23" x14ac:dyDescent="0.35">
      <c r="A2626" s="7">
        <v>46090</v>
      </c>
      <c r="P2626" s="26">
        <v>70.900000000000006</v>
      </c>
      <c r="Q2626" s="26"/>
      <c r="R2626" s="26">
        <v>73.209999999999994</v>
      </c>
      <c r="S2626" s="26">
        <v>75.58</v>
      </c>
      <c r="T2626" s="26">
        <v>72.430000000000007</v>
      </c>
      <c r="U2626" s="26">
        <v>74.83</v>
      </c>
      <c r="V2626" s="26"/>
      <c r="W2626" s="26">
        <v>78.27</v>
      </c>
    </row>
    <row r="2627" spans="1:23" x14ac:dyDescent="0.35">
      <c r="A2627" s="7">
        <v>46091</v>
      </c>
      <c r="P2627" s="26">
        <v>72.91</v>
      </c>
      <c r="Q2627" s="26"/>
      <c r="R2627" s="26">
        <v>75.180000000000007</v>
      </c>
      <c r="S2627" s="26">
        <v>77.56</v>
      </c>
      <c r="T2627" s="26">
        <v>74.42</v>
      </c>
      <c r="U2627" s="26">
        <v>76.81</v>
      </c>
      <c r="V2627" s="26"/>
      <c r="W2627" s="26">
        <v>80.260000000000005</v>
      </c>
    </row>
    <row r="2628" spans="1:23" x14ac:dyDescent="0.35">
      <c r="A2628" s="7">
        <v>46092</v>
      </c>
      <c r="P2628" s="26">
        <v>71.86</v>
      </c>
      <c r="Q2628" s="26"/>
      <c r="R2628" s="26">
        <v>74.19</v>
      </c>
      <c r="S2628" s="26">
        <v>76.62</v>
      </c>
      <c r="T2628" s="26">
        <v>73.41</v>
      </c>
      <c r="U2628" s="26">
        <v>75.849999999999994</v>
      </c>
      <c r="V2628" s="26"/>
      <c r="W2628" s="26">
        <v>79.319999999999993</v>
      </c>
    </row>
    <row r="2629" spans="1:23" x14ac:dyDescent="0.35">
      <c r="A2629" s="7">
        <v>46093</v>
      </c>
      <c r="P2629" s="26">
        <v>68.73</v>
      </c>
      <c r="Q2629" s="26"/>
      <c r="R2629" s="26">
        <v>71.040000000000006</v>
      </c>
      <c r="S2629" s="26">
        <v>73.44</v>
      </c>
      <c r="T2629" s="26">
        <v>70.27</v>
      </c>
      <c r="U2629" s="26">
        <v>72.69</v>
      </c>
      <c r="V2629" s="26"/>
      <c r="W2629" s="26">
        <v>76.12</v>
      </c>
    </row>
    <row r="2630" spans="1:23" x14ac:dyDescent="0.35">
      <c r="A2630" s="7">
        <v>46094</v>
      </c>
      <c r="P2630" s="26">
        <v>69.16</v>
      </c>
      <c r="Q2630" s="26"/>
      <c r="R2630" s="26">
        <v>71.48</v>
      </c>
      <c r="S2630" s="26">
        <v>73.91</v>
      </c>
      <c r="T2630" s="26">
        <v>70.709999999999994</v>
      </c>
      <c r="U2630" s="26">
        <v>73.14</v>
      </c>
      <c r="V2630" s="26"/>
      <c r="W2630" s="26">
        <v>76.650000000000006</v>
      </c>
    </row>
    <row r="2631" spans="1:23" x14ac:dyDescent="0.35">
      <c r="A2631" s="7">
        <v>46095</v>
      </c>
      <c r="P2631" s="26">
        <v>69.16</v>
      </c>
      <c r="Q2631" s="26"/>
      <c r="R2631" s="26">
        <v>71.48</v>
      </c>
      <c r="S2631" s="26">
        <v>73.91</v>
      </c>
      <c r="T2631" s="26">
        <v>70.709999999999994</v>
      </c>
      <c r="U2631" s="26">
        <v>73.14</v>
      </c>
      <c r="V2631" s="26"/>
      <c r="W2631" s="26">
        <v>76.650000000000006</v>
      </c>
    </row>
    <row r="2632" spans="1:23" x14ac:dyDescent="0.35">
      <c r="A2632" s="7">
        <v>46096</v>
      </c>
      <c r="P2632" s="26">
        <v>69.16</v>
      </c>
      <c r="Q2632" s="26"/>
      <c r="R2632" s="26">
        <v>71.48</v>
      </c>
      <c r="S2632" s="26">
        <v>73.91</v>
      </c>
      <c r="T2632" s="26">
        <v>70.709999999999994</v>
      </c>
      <c r="U2632" s="26">
        <v>73.14</v>
      </c>
      <c r="V2632" s="26"/>
      <c r="W2632" s="26">
        <v>76.650000000000006</v>
      </c>
    </row>
    <row r="2633" spans="1:23" x14ac:dyDescent="0.35">
      <c r="A2633" s="7">
        <v>46097</v>
      </c>
      <c r="P2633" s="26">
        <v>69</v>
      </c>
      <c r="Q2633" s="26"/>
      <c r="R2633" s="26">
        <v>71.31</v>
      </c>
      <c r="S2633" s="26">
        <v>73.72</v>
      </c>
      <c r="T2633" s="26">
        <v>70.56</v>
      </c>
      <c r="U2633" s="26">
        <v>72.959999999999994</v>
      </c>
      <c r="V2633" s="26"/>
      <c r="W2633" s="26">
        <v>76.459999999999994</v>
      </c>
    </row>
    <row r="2634" spans="1:23" x14ac:dyDescent="0.35">
      <c r="A2634" s="7">
        <v>46098</v>
      </c>
      <c r="P2634" s="26">
        <v>66.650000000000006</v>
      </c>
      <c r="Q2634" s="26"/>
      <c r="R2634" s="26">
        <v>68.88</v>
      </c>
      <c r="S2634" s="26">
        <v>71.260000000000005</v>
      </c>
      <c r="T2634" s="26">
        <v>68.150000000000006</v>
      </c>
      <c r="U2634" s="26">
        <v>70.459999999999994</v>
      </c>
      <c r="V2634" s="26"/>
      <c r="W2634" s="26">
        <v>73.92</v>
      </c>
    </row>
    <row r="2635" spans="1:23" x14ac:dyDescent="0.35">
      <c r="A2635" s="7">
        <v>46099</v>
      </c>
      <c r="P2635" s="26">
        <v>65.87</v>
      </c>
      <c r="Q2635" s="26"/>
      <c r="R2635" s="26">
        <v>68.14</v>
      </c>
      <c r="S2635" s="26">
        <v>70.459999999999994</v>
      </c>
      <c r="T2635" s="26">
        <v>67.39</v>
      </c>
      <c r="U2635" s="26">
        <v>69.790000000000006</v>
      </c>
      <c r="V2635" s="26"/>
      <c r="W2635" s="26">
        <v>73.02</v>
      </c>
    </row>
    <row r="2636" spans="1:23" x14ac:dyDescent="0.35">
      <c r="A2636" s="7">
        <v>46100</v>
      </c>
      <c r="P2636" s="26">
        <v>63.65</v>
      </c>
      <c r="Q2636" s="26"/>
      <c r="R2636" s="26">
        <v>65.92</v>
      </c>
      <c r="S2636" s="26">
        <v>68.209999999999994</v>
      </c>
      <c r="T2636" s="26">
        <v>65.2</v>
      </c>
      <c r="U2636" s="26">
        <v>67.540000000000006</v>
      </c>
      <c r="V2636" s="26"/>
      <c r="W2636" s="26">
        <v>70.83</v>
      </c>
    </row>
    <row r="2637" spans="1:23" x14ac:dyDescent="0.35">
      <c r="A2637" s="7">
        <v>46101</v>
      </c>
      <c r="P2637" s="26">
        <v>67.66</v>
      </c>
      <c r="Q2637" s="26"/>
      <c r="R2637" s="26">
        <v>70.099999999999994</v>
      </c>
      <c r="S2637" s="26">
        <v>72.540000000000006</v>
      </c>
      <c r="T2637" s="26">
        <v>69.31</v>
      </c>
      <c r="U2637" s="26">
        <v>71.81</v>
      </c>
      <c r="V2637" s="26"/>
      <c r="W2637" s="26">
        <v>75.2</v>
      </c>
    </row>
    <row r="2638" spans="1:23" x14ac:dyDescent="0.35">
      <c r="A2638" s="7">
        <v>46102</v>
      </c>
      <c r="P2638" s="26">
        <v>67.66</v>
      </c>
      <c r="Q2638" s="26"/>
      <c r="R2638" s="26">
        <v>70.099999999999994</v>
      </c>
      <c r="S2638" s="26">
        <v>72.540000000000006</v>
      </c>
      <c r="T2638" s="26">
        <v>69.31</v>
      </c>
      <c r="U2638" s="26">
        <v>71.81</v>
      </c>
      <c r="V2638" s="26"/>
      <c r="W2638" s="26">
        <v>75.2</v>
      </c>
    </row>
    <row r="2639" spans="1:23" x14ac:dyDescent="0.35">
      <c r="A2639" s="7">
        <v>46103</v>
      </c>
      <c r="P2639" s="26">
        <v>67.66</v>
      </c>
      <c r="Q2639" s="26"/>
      <c r="R2639" s="26">
        <v>70.099999999999994</v>
      </c>
      <c r="S2639" s="26">
        <v>72.540000000000006</v>
      </c>
      <c r="T2639" s="26">
        <v>69.31</v>
      </c>
      <c r="U2639" s="26">
        <v>71.81</v>
      </c>
      <c r="V2639" s="26"/>
      <c r="W2639" s="26">
        <v>75.2</v>
      </c>
    </row>
    <row r="2640" spans="1:23" x14ac:dyDescent="0.35">
      <c r="A2640" s="7">
        <v>46104</v>
      </c>
      <c r="P2640" s="26">
        <v>69.260000000000005</v>
      </c>
      <c r="Q2640" s="26"/>
      <c r="R2640" s="26">
        <v>71.709999999999994</v>
      </c>
      <c r="S2640" s="26">
        <v>74.17</v>
      </c>
      <c r="T2640" s="26">
        <v>70.91</v>
      </c>
      <c r="U2640" s="26">
        <v>73.430000000000007</v>
      </c>
      <c r="V2640" s="26"/>
      <c r="W2640" s="26">
        <v>76.92</v>
      </c>
    </row>
    <row r="2641" spans="1:23" x14ac:dyDescent="0.35">
      <c r="A2641" s="7">
        <v>46105</v>
      </c>
      <c r="P2641" s="26">
        <v>71.22</v>
      </c>
      <c r="Q2641" s="26"/>
      <c r="R2641" s="26">
        <v>73.760000000000005</v>
      </c>
      <c r="S2641" s="26">
        <v>76.28</v>
      </c>
      <c r="T2641" s="26">
        <v>72.92</v>
      </c>
      <c r="U2641" s="26">
        <v>75.510000000000005</v>
      </c>
      <c r="V2641" s="26"/>
      <c r="W2641" s="26">
        <v>79.040000000000006</v>
      </c>
    </row>
    <row r="2642" spans="1:23" x14ac:dyDescent="0.35">
      <c r="A2642" s="7">
        <v>46106</v>
      </c>
      <c r="P2642" s="26">
        <v>70.739999999999995</v>
      </c>
      <c r="Q2642" s="26"/>
      <c r="R2642" s="26">
        <v>73.260000000000005</v>
      </c>
      <c r="S2642" s="26">
        <v>75.78</v>
      </c>
      <c r="T2642" s="26">
        <v>72.44</v>
      </c>
      <c r="U2642" s="26">
        <v>75.010000000000005</v>
      </c>
      <c r="V2642" s="26"/>
      <c r="W2642" s="26">
        <v>78.540000000000006</v>
      </c>
    </row>
    <row r="2643" spans="1:23" x14ac:dyDescent="0.35">
      <c r="A2643" s="7">
        <v>46107</v>
      </c>
      <c r="P2643" s="26">
        <v>71.650000000000006</v>
      </c>
      <c r="Q2643" s="26"/>
      <c r="R2643" s="26">
        <v>74.290000000000006</v>
      </c>
      <c r="S2643" s="26">
        <v>76.94</v>
      </c>
      <c r="T2643" s="26">
        <v>73.42</v>
      </c>
      <c r="U2643" s="26">
        <v>76.12</v>
      </c>
      <c r="V2643" s="26"/>
      <c r="W2643" s="26">
        <v>79.739999999999995</v>
      </c>
    </row>
    <row r="2644" spans="1:23" x14ac:dyDescent="0.35">
      <c r="A2644" s="7">
        <v>46108</v>
      </c>
      <c r="P2644" s="26">
        <v>71.67</v>
      </c>
      <c r="Q2644" s="26"/>
      <c r="R2644" s="26">
        <v>74.33</v>
      </c>
      <c r="S2644" s="26">
        <v>76.959999999999994</v>
      </c>
      <c r="T2644" s="26">
        <v>73.459999999999994</v>
      </c>
      <c r="U2644" s="26">
        <v>76.150000000000006</v>
      </c>
      <c r="V2644" s="26"/>
      <c r="W2644" s="26">
        <v>79.95</v>
      </c>
    </row>
    <row r="2645" spans="1:23" x14ac:dyDescent="0.35">
      <c r="A2645" s="7">
        <v>46109</v>
      </c>
      <c r="P2645" s="26">
        <v>71.67</v>
      </c>
      <c r="Q2645" s="26"/>
      <c r="R2645" s="26">
        <v>74.33</v>
      </c>
      <c r="S2645" s="26">
        <v>76.959999999999994</v>
      </c>
      <c r="T2645" s="26">
        <v>73.459999999999994</v>
      </c>
      <c r="U2645" s="26">
        <v>76.150000000000006</v>
      </c>
      <c r="V2645" s="26"/>
      <c r="W2645" s="26">
        <v>79.95</v>
      </c>
    </row>
    <row r="2646" spans="1:23" x14ac:dyDescent="0.35">
      <c r="A2646" s="7">
        <v>46110</v>
      </c>
      <c r="P2646" s="26">
        <v>71.67</v>
      </c>
      <c r="Q2646" s="26"/>
      <c r="R2646" s="26">
        <v>74.33</v>
      </c>
      <c r="S2646" s="26">
        <v>76.959999999999994</v>
      </c>
      <c r="T2646" s="26">
        <v>73.459999999999994</v>
      </c>
      <c r="U2646" s="26">
        <v>76.150000000000006</v>
      </c>
      <c r="V2646" s="26"/>
      <c r="W2646" s="26">
        <v>79.95</v>
      </c>
    </row>
    <row r="2647" spans="1:23" x14ac:dyDescent="0.35">
      <c r="A2647" s="7">
        <v>46111</v>
      </c>
      <c r="P2647" s="26">
        <v>72.180000000000007</v>
      </c>
      <c r="Q2647" s="26"/>
      <c r="R2647" s="26">
        <v>74.83</v>
      </c>
      <c r="S2647" s="26">
        <v>77.45</v>
      </c>
      <c r="T2647" s="26">
        <v>73.959999999999994</v>
      </c>
      <c r="U2647" s="26">
        <v>76.680000000000007</v>
      </c>
      <c r="V2647" s="26"/>
      <c r="W2647" s="26">
        <v>80.400000000000006</v>
      </c>
    </row>
    <row r="2648" spans="1:23" x14ac:dyDescent="0.35">
      <c r="A2648" s="7">
        <v>46112</v>
      </c>
      <c r="P2648" s="26">
        <v>72.510000000000005</v>
      </c>
      <c r="Q2648" s="26"/>
      <c r="R2648" s="26">
        <v>75.13</v>
      </c>
      <c r="S2648" s="26">
        <v>77.77</v>
      </c>
      <c r="T2648" s="26">
        <v>74.260000000000005</v>
      </c>
      <c r="U2648" s="26">
        <v>76.989999999999995</v>
      </c>
      <c r="V2648" s="26"/>
      <c r="W2648" s="26">
        <v>80.77</v>
      </c>
    </row>
    <row r="2649" spans="1:23" x14ac:dyDescent="0.35">
      <c r="A2649" s="7">
        <v>46113</v>
      </c>
      <c r="P2649" s="26">
        <v>74.64</v>
      </c>
      <c r="Q2649" s="26"/>
      <c r="R2649" s="26">
        <v>77.3</v>
      </c>
      <c r="S2649" s="26">
        <v>79.989999999999995</v>
      </c>
      <c r="T2649" s="26">
        <v>76.42</v>
      </c>
      <c r="U2649" s="26">
        <v>79.13</v>
      </c>
      <c r="V2649" s="26"/>
      <c r="W2649" s="26">
        <v>82.97</v>
      </c>
    </row>
    <row r="2650" spans="1:23" x14ac:dyDescent="0.35">
      <c r="A2650" s="7">
        <v>46114</v>
      </c>
      <c r="P2650" s="26">
        <v>71.69</v>
      </c>
      <c r="Q2650" s="26"/>
      <c r="R2650" s="26">
        <v>74.27</v>
      </c>
      <c r="S2650" s="26">
        <v>76.84</v>
      </c>
      <c r="T2650" s="26">
        <v>73.45</v>
      </c>
      <c r="U2650" s="26">
        <v>76.02</v>
      </c>
      <c r="V2650" s="26"/>
      <c r="W2650" s="26">
        <v>79.739999999999995</v>
      </c>
    </row>
    <row r="2651" spans="1:23" x14ac:dyDescent="0.35">
      <c r="A2651" s="7">
        <v>46115</v>
      </c>
      <c r="P2651" s="26">
        <v>71.69</v>
      </c>
      <c r="Q2651" s="26"/>
      <c r="R2651" s="26">
        <v>74.27</v>
      </c>
      <c r="S2651" s="26">
        <v>76.84</v>
      </c>
      <c r="T2651" s="26">
        <v>73.45</v>
      </c>
      <c r="U2651" s="26">
        <v>76.02</v>
      </c>
      <c r="V2651" s="26"/>
      <c r="W2651" s="26">
        <v>79.739999999999995</v>
      </c>
    </row>
    <row r="2652" spans="1:23" x14ac:dyDescent="0.35">
      <c r="A2652" s="7">
        <v>46116</v>
      </c>
      <c r="P2652" s="26">
        <v>71.69</v>
      </c>
      <c r="Q2652" s="26"/>
      <c r="R2652" s="26">
        <v>74.27</v>
      </c>
      <c r="S2652" s="26">
        <v>76.84</v>
      </c>
      <c r="T2652" s="26">
        <v>73.45</v>
      </c>
      <c r="U2652" s="26">
        <v>76.02</v>
      </c>
      <c r="V2652" s="26"/>
      <c r="W2652" s="26">
        <v>79.739999999999995</v>
      </c>
    </row>
    <row r="2653" spans="1:23" x14ac:dyDescent="0.35">
      <c r="A2653" s="7">
        <v>46117</v>
      </c>
      <c r="P2653" s="26">
        <v>71.69</v>
      </c>
      <c r="Q2653" s="26"/>
      <c r="R2653" s="26">
        <v>74.27</v>
      </c>
      <c r="S2653" s="26">
        <v>76.84</v>
      </c>
      <c r="T2653" s="26">
        <v>73.45</v>
      </c>
      <c r="U2653" s="26">
        <v>76.02</v>
      </c>
      <c r="V2653" s="26"/>
      <c r="W2653" s="26">
        <v>79.739999999999995</v>
      </c>
    </row>
    <row r="2654" spans="1:23" x14ac:dyDescent="0.35">
      <c r="A2654" s="7">
        <v>46118</v>
      </c>
      <c r="P2654" s="26">
        <v>71.69</v>
      </c>
      <c r="Q2654" s="26"/>
      <c r="R2654" s="26">
        <v>74.27</v>
      </c>
      <c r="S2654" s="26">
        <v>76.84</v>
      </c>
      <c r="T2654" s="26">
        <v>73.45</v>
      </c>
      <c r="U2654" s="26">
        <v>76.02</v>
      </c>
      <c r="V2654" s="26"/>
      <c r="W2654" s="26">
        <v>79.739999999999995</v>
      </c>
    </row>
    <row r="2655" spans="1:23" x14ac:dyDescent="0.35">
      <c r="A2655" s="7">
        <v>46119</v>
      </c>
      <c r="P2655" s="26">
        <v>71.510000000000005</v>
      </c>
      <c r="Q2655" s="26"/>
      <c r="R2655" s="26">
        <v>74.2</v>
      </c>
      <c r="S2655" s="26">
        <v>76.92</v>
      </c>
      <c r="T2655" s="26">
        <v>73.31</v>
      </c>
      <c r="U2655" s="26">
        <v>76.03</v>
      </c>
      <c r="V2655" s="26"/>
      <c r="W2655" s="26">
        <v>79.819999999999993</v>
      </c>
    </row>
    <row r="2656" spans="1:23" x14ac:dyDescent="0.35">
      <c r="A2656" s="7">
        <v>46120</v>
      </c>
      <c r="P2656" s="26">
        <v>71.67</v>
      </c>
      <c r="Q2656" s="26"/>
      <c r="R2656" s="26">
        <v>74.09</v>
      </c>
      <c r="S2656" s="26">
        <v>76.64</v>
      </c>
      <c r="T2656" s="26">
        <v>73.319999999999993</v>
      </c>
      <c r="U2656" s="26">
        <v>75.8</v>
      </c>
      <c r="V2656" s="26"/>
      <c r="W2656" s="26">
        <v>79.489999999999995</v>
      </c>
    </row>
    <row r="2657" spans="1:23" x14ac:dyDescent="0.35">
      <c r="A2657" s="7">
        <v>46121</v>
      </c>
      <c r="P2657" s="26">
        <v>73.72</v>
      </c>
      <c r="Q2657" s="26"/>
      <c r="R2657" s="26">
        <v>76.239999999999995</v>
      </c>
      <c r="S2657" s="26">
        <v>78.88</v>
      </c>
      <c r="T2657" s="26">
        <v>75.400000000000006</v>
      </c>
      <c r="U2657" s="26">
        <v>78.010000000000005</v>
      </c>
      <c r="V2657" s="26"/>
      <c r="W2657" s="26">
        <v>81.72</v>
      </c>
    </row>
    <row r="2658" spans="1:23" x14ac:dyDescent="0.35">
      <c r="A2658" s="7">
        <v>46122</v>
      </c>
      <c r="P2658" s="26">
        <v>72.84</v>
      </c>
      <c r="Q2658" s="26"/>
      <c r="R2658" s="26">
        <v>75.349999999999994</v>
      </c>
      <c r="S2658" s="26">
        <v>77.989999999999995</v>
      </c>
      <c r="T2658" s="26">
        <v>74.52</v>
      </c>
      <c r="U2658" s="26">
        <v>77.12</v>
      </c>
      <c r="V2658" s="26"/>
      <c r="W2658" s="26">
        <v>80.83</v>
      </c>
    </row>
    <row r="2659" spans="1:23" x14ac:dyDescent="0.35">
      <c r="A2659" s="7">
        <v>46123</v>
      </c>
      <c r="P2659" s="26">
        <v>72.84</v>
      </c>
      <c r="Q2659" s="26"/>
      <c r="R2659" s="26">
        <v>75.349999999999994</v>
      </c>
      <c r="S2659" s="26">
        <v>77.989999999999995</v>
      </c>
      <c r="T2659" s="26">
        <v>74.52</v>
      </c>
      <c r="U2659" s="26">
        <v>77.12</v>
      </c>
      <c r="V2659" s="26"/>
      <c r="W2659" s="26">
        <v>80.83</v>
      </c>
    </row>
    <row r="2660" spans="1:23" x14ac:dyDescent="0.35">
      <c r="A2660" s="7">
        <v>46124</v>
      </c>
      <c r="P2660" s="26">
        <v>72.84</v>
      </c>
      <c r="Q2660" s="26"/>
      <c r="R2660" s="26">
        <v>75.349999999999994</v>
      </c>
      <c r="S2660" s="26">
        <v>77.989999999999995</v>
      </c>
      <c r="T2660" s="26">
        <v>74.52</v>
      </c>
      <c r="U2660" s="26">
        <v>77.12</v>
      </c>
      <c r="V2660" s="26"/>
      <c r="W2660" s="26">
        <v>80.83</v>
      </c>
    </row>
    <row r="2661" spans="1:23" x14ac:dyDescent="0.35">
      <c r="A2661" s="7">
        <v>46125</v>
      </c>
      <c r="P2661" s="26">
        <v>72.59</v>
      </c>
      <c r="Q2661" s="26"/>
      <c r="R2661" s="26">
        <v>75.16</v>
      </c>
      <c r="S2661" s="26">
        <v>77.8</v>
      </c>
      <c r="T2661" s="26">
        <v>74.319999999999993</v>
      </c>
      <c r="U2661" s="26">
        <v>76.930000000000007</v>
      </c>
      <c r="V2661" s="26"/>
      <c r="W2661" s="26">
        <v>80.62</v>
      </c>
    </row>
    <row r="2662" spans="1:23" x14ac:dyDescent="0.35">
      <c r="A2662" s="7">
        <v>46126</v>
      </c>
      <c r="P2662" s="26">
        <v>74.87</v>
      </c>
      <c r="Q2662" s="26"/>
      <c r="R2662" s="26">
        <v>77.41</v>
      </c>
      <c r="S2662" s="26">
        <v>80.099999999999994</v>
      </c>
      <c r="T2662" s="26">
        <v>76.63</v>
      </c>
      <c r="U2662" s="26">
        <v>79.19</v>
      </c>
      <c r="V2662" s="26"/>
      <c r="W2662" s="26">
        <v>83.02</v>
      </c>
    </row>
    <row r="2663" spans="1:23" x14ac:dyDescent="0.35">
      <c r="A2663" s="7">
        <v>46127</v>
      </c>
      <c r="P2663" s="26">
        <v>74.150000000000006</v>
      </c>
      <c r="Q2663" s="26"/>
      <c r="R2663" s="26">
        <v>76.67</v>
      </c>
      <c r="S2663" s="26">
        <v>79.319999999999993</v>
      </c>
      <c r="T2663" s="26">
        <v>75.89</v>
      </c>
      <c r="U2663" s="26">
        <v>78.430000000000007</v>
      </c>
      <c r="V2663" s="26"/>
      <c r="W2663" s="26">
        <v>82.11</v>
      </c>
    </row>
    <row r="2664" spans="1:23" x14ac:dyDescent="0.35">
      <c r="A2664" s="7">
        <v>46128</v>
      </c>
      <c r="P2664" s="26">
        <v>74.989999999999995</v>
      </c>
      <c r="Q2664" s="26"/>
      <c r="R2664" s="26">
        <v>77.510000000000005</v>
      </c>
      <c r="S2664" s="26">
        <v>80.14</v>
      </c>
      <c r="T2664" s="26">
        <v>76.73</v>
      </c>
      <c r="U2664" s="26">
        <v>79.260000000000005</v>
      </c>
      <c r="V2664" s="26"/>
      <c r="W2664" s="26">
        <v>82.96</v>
      </c>
    </row>
    <row r="2665" spans="1:23" x14ac:dyDescent="0.35">
      <c r="A2665" s="7">
        <v>46129</v>
      </c>
      <c r="P2665" s="26">
        <v>77.459999999999994</v>
      </c>
      <c r="Q2665" s="26"/>
      <c r="R2665" s="26">
        <v>79.97</v>
      </c>
      <c r="S2665" s="26">
        <v>82.6</v>
      </c>
      <c r="T2665" s="26">
        <v>79.19</v>
      </c>
      <c r="U2665" s="26">
        <v>81.72</v>
      </c>
      <c r="V2665" s="26"/>
      <c r="W2665" s="26">
        <v>85.45</v>
      </c>
    </row>
    <row r="2666" spans="1:23" x14ac:dyDescent="0.35">
      <c r="A2666" s="7">
        <v>46130</v>
      </c>
      <c r="P2666" s="26">
        <v>77.459999999999994</v>
      </c>
      <c r="Q2666" s="26"/>
      <c r="R2666" s="26">
        <v>79.97</v>
      </c>
      <c r="S2666" s="26">
        <v>82.6</v>
      </c>
      <c r="T2666" s="26">
        <v>79.19</v>
      </c>
      <c r="U2666" s="26">
        <v>81.72</v>
      </c>
      <c r="V2666" s="26"/>
      <c r="W2666" s="26">
        <v>85.45</v>
      </c>
    </row>
    <row r="2667" spans="1:23" x14ac:dyDescent="0.35">
      <c r="A2667" s="7">
        <v>46131</v>
      </c>
      <c r="P2667" s="26">
        <v>77.459999999999994</v>
      </c>
      <c r="Q2667" s="26"/>
      <c r="R2667" s="26">
        <v>79.97</v>
      </c>
      <c r="S2667" s="26">
        <v>82.6</v>
      </c>
      <c r="T2667" s="26">
        <v>79.19</v>
      </c>
      <c r="U2667" s="26">
        <v>81.72</v>
      </c>
      <c r="V2667" s="26"/>
      <c r="W2667" s="26">
        <v>85.45</v>
      </c>
    </row>
    <row r="2668" spans="1:23" x14ac:dyDescent="0.35">
      <c r="A2668" s="7">
        <v>46132</v>
      </c>
      <c r="P2668" s="26">
        <v>76.13</v>
      </c>
      <c r="Q2668" s="26"/>
      <c r="R2668" s="26">
        <v>78.650000000000006</v>
      </c>
      <c r="S2668" s="26">
        <v>81.25</v>
      </c>
      <c r="T2668" s="26">
        <v>77.87</v>
      </c>
      <c r="U2668" s="26">
        <v>80.38</v>
      </c>
      <c r="V2668" s="26"/>
      <c r="W2668" s="26">
        <v>84.13</v>
      </c>
    </row>
    <row r="2669" spans="1:23" x14ac:dyDescent="0.35">
      <c r="A2669" s="7">
        <v>46133</v>
      </c>
      <c r="P2669" s="26">
        <v>75.7</v>
      </c>
      <c r="Q2669" s="26"/>
      <c r="R2669" s="26">
        <v>78.23</v>
      </c>
      <c r="S2669" s="26">
        <v>80.84</v>
      </c>
      <c r="T2669" s="26">
        <v>77.430000000000007</v>
      </c>
      <c r="U2669" s="26">
        <v>79.959999999999994</v>
      </c>
      <c r="V2669" s="26"/>
      <c r="W2669" s="26">
        <v>83.72</v>
      </c>
    </row>
    <row r="2670" spans="1:23" x14ac:dyDescent="0.35">
      <c r="A2670" s="7">
        <v>46134</v>
      </c>
      <c r="P2670" s="26">
        <v>74.41</v>
      </c>
      <c r="Q2670" s="26"/>
      <c r="R2670" s="26">
        <v>76.94</v>
      </c>
      <c r="S2670" s="26">
        <v>79.53</v>
      </c>
      <c r="T2670" s="26">
        <v>76.14</v>
      </c>
      <c r="U2670" s="26">
        <v>78.67</v>
      </c>
      <c r="V2670" s="26"/>
      <c r="W2670" s="26">
        <v>82.42</v>
      </c>
    </row>
    <row r="2671" spans="1:23" x14ac:dyDescent="0.35">
      <c r="A2671" s="7">
        <v>46135</v>
      </c>
      <c r="P2671" s="26">
        <v>74.849999999999994</v>
      </c>
      <c r="Q2671" s="26"/>
      <c r="R2671" s="26">
        <v>77.400000000000006</v>
      </c>
      <c r="S2671" s="26">
        <v>80.040000000000006</v>
      </c>
      <c r="T2671" s="26">
        <v>76.61</v>
      </c>
      <c r="U2671" s="26">
        <v>79.17</v>
      </c>
      <c r="V2671" s="26"/>
      <c r="W2671" s="26">
        <v>82.9</v>
      </c>
    </row>
    <row r="2672" spans="1:23" x14ac:dyDescent="0.35">
      <c r="A2672" s="7">
        <v>46136</v>
      </c>
      <c r="P2672" s="26">
        <v>74.900000000000006</v>
      </c>
      <c r="Q2672" s="26"/>
      <c r="R2672" s="26">
        <v>77.44</v>
      </c>
      <c r="S2672" s="26">
        <v>80.069999999999993</v>
      </c>
      <c r="T2672" s="26">
        <v>76.66</v>
      </c>
      <c r="U2672" s="26">
        <v>79.2</v>
      </c>
      <c r="V2672" s="26"/>
      <c r="W2672" s="26">
        <v>83.03</v>
      </c>
    </row>
    <row r="2673" spans="1:23" x14ac:dyDescent="0.35">
      <c r="A2673" s="7">
        <v>46137</v>
      </c>
      <c r="P2673" s="26">
        <v>74.900000000000006</v>
      </c>
      <c r="Q2673" s="26"/>
      <c r="R2673" s="26">
        <v>77.44</v>
      </c>
      <c r="S2673" s="26">
        <v>80.069999999999993</v>
      </c>
      <c r="T2673" s="26">
        <v>76.66</v>
      </c>
      <c r="U2673" s="26">
        <v>79.2</v>
      </c>
      <c r="V2673" s="26"/>
      <c r="W2673" s="26">
        <v>83.03</v>
      </c>
    </row>
    <row r="2674" spans="1:23" x14ac:dyDescent="0.35">
      <c r="A2674" s="7">
        <v>46138</v>
      </c>
      <c r="P2674" s="26">
        <v>74.900000000000006</v>
      </c>
      <c r="Q2674" s="26"/>
      <c r="R2674" s="26">
        <v>77.44</v>
      </c>
      <c r="S2674" s="26">
        <v>80.069999999999993</v>
      </c>
      <c r="T2674" s="26">
        <v>76.66</v>
      </c>
      <c r="U2674" s="26">
        <v>79.2</v>
      </c>
      <c r="V2674" s="26"/>
      <c r="W2674" s="26">
        <v>83.03</v>
      </c>
    </row>
    <row r="2675" spans="1:23" x14ac:dyDescent="0.35">
      <c r="A2675" s="7">
        <v>46139</v>
      </c>
      <c r="P2675" s="26">
        <v>74.739999999999995</v>
      </c>
      <c r="Q2675" s="26"/>
      <c r="R2675" s="26">
        <v>77.290000000000006</v>
      </c>
      <c r="S2675" s="26">
        <v>79.91</v>
      </c>
      <c r="T2675" s="26">
        <v>76.5</v>
      </c>
      <c r="U2675" s="26">
        <v>79.05</v>
      </c>
      <c r="V2675" s="26"/>
      <c r="W2675" s="26">
        <v>82.82</v>
      </c>
    </row>
    <row r="2676" spans="1:23" x14ac:dyDescent="0.35">
      <c r="A2676" s="7">
        <v>46140</v>
      </c>
      <c r="P2676" s="26">
        <v>75.11</v>
      </c>
      <c r="Q2676" s="26"/>
      <c r="R2676" s="26">
        <v>77.72</v>
      </c>
      <c r="S2676" s="26">
        <v>80.37</v>
      </c>
      <c r="T2676" s="26">
        <v>76.89</v>
      </c>
      <c r="U2676" s="26">
        <v>79.5</v>
      </c>
      <c r="V2676" s="26"/>
      <c r="W2676" s="26">
        <v>83.23</v>
      </c>
    </row>
    <row r="2677" spans="1:23" x14ac:dyDescent="0.35">
      <c r="A2677" s="7">
        <v>46141</v>
      </c>
      <c r="P2677" s="26">
        <v>73.2</v>
      </c>
      <c r="Q2677" s="26"/>
      <c r="R2677" s="26">
        <v>75.84</v>
      </c>
      <c r="S2677" s="26">
        <v>78.510000000000005</v>
      </c>
      <c r="T2677" s="26">
        <v>75</v>
      </c>
      <c r="U2677" s="26">
        <v>77.64</v>
      </c>
      <c r="V2677" s="26"/>
      <c r="W2677" s="26">
        <v>81.41</v>
      </c>
    </row>
    <row r="2678" spans="1:23" x14ac:dyDescent="0.35">
      <c r="A2678" s="7">
        <v>46142</v>
      </c>
      <c r="P2678" s="26">
        <v>73.790000000000006</v>
      </c>
      <c r="Q2678" s="26"/>
      <c r="R2678" s="26">
        <v>76.39</v>
      </c>
      <c r="S2678" s="26">
        <v>79.03</v>
      </c>
      <c r="T2678" s="26">
        <v>75.59</v>
      </c>
      <c r="U2678" s="26">
        <v>78.17</v>
      </c>
      <c r="V2678" s="26"/>
      <c r="W2678" s="26">
        <v>81.93</v>
      </c>
    </row>
    <row r="2679" spans="1:23" x14ac:dyDescent="0.35">
      <c r="A2679" s="7">
        <v>46143</v>
      </c>
      <c r="P2679" s="26">
        <v>73.94</v>
      </c>
      <c r="Q2679" s="26"/>
      <c r="R2679" s="26">
        <v>76.540000000000006</v>
      </c>
      <c r="S2679" s="26">
        <v>79.209999999999994</v>
      </c>
      <c r="T2679" s="26">
        <v>75.739999999999995</v>
      </c>
      <c r="U2679" s="26">
        <v>78.349999999999994</v>
      </c>
      <c r="V2679" s="26"/>
      <c r="W2679" s="26">
        <v>82.11</v>
      </c>
    </row>
    <row r="2680" spans="1:23" x14ac:dyDescent="0.35">
      <c r="A2680" s="7">
        <v>46144</v>
      </c>
      <c r="P2680" s="26">
        <v>73.94</v>
      </c>
      <c r="Q2680" s="26"/>
      <c r="R2680" s="26">
        <v>76.540000000000006</v>
      </c>
      <c r="S2680" s="26">
        <v>79.209999999999994</v>
      </c>
      <c r="T2680" s="26">
        <v>75.739999999999995</v>
      </c>
      <c r="U2680" s="26">
        <v>78.349999999999994</v>
      </c>
      <c r="V2680" s="26"/>
      <c r="W2680" s="26">
        <v>82.11</v>
      </c>
    </row>
    <row r="2681" spans="1:23" x14ac:dyDescent="0.35">
      <c r="A2681" s="7">
        <v>46145</v>
      </c>
      <c r="P2681" s="26">
        <v>73.94</v>
      </c>
      <c r="Q2681" s="26"/>
      <c r="R2681" s="26">
        <v>76.540000000000006</v>
      </c>
      <c r="S2681" s="26">
        <v>79.209999999999994</v>
      </c>
      <c r="T2681" s="26">
        <v>75.739999999999995</v>
      </c>
      <c r="U2681" s="26">
        <v>78.349999999999994</v>
      </c>
      <c r="V2681" s="26"/>
      <c r="W2681" s="26">
        <v>82.11</v>
      </c>
    </row>
    <row r="2682" spans="1:23" x14ac:dyDescent="0.35">
      <c r="A2682" s="7">
        <v>46146</v>
      </c>
      <c r="P2682" s="26">
        <v>73.040000000000006</v>
      </c>
      <c r="Q2682" s="26"/>
      <c r="R2682" s="26">
        <v>75.69</v>
      </c>
      <c r="S2682" s="26">
        <v>78.400000000000006</v>
      </c>
      <c r="T2682" s="26">
        <v>74.91</v>
      </c>
      <c r="U2682" s="26">
        <v>77.53</v>
      </c>
      <c r="V2682" s="26"/>
      <c r="W2682" s="26">
        <v>81.34</v>
      </c>
    </row>
    <row r="2683" spans="1:23" x14ac:dyDescent="0.35">
      <c r="A2683" s="7">
        <v>46147</v>
      </c>
      <c r="P2683" s="26">
        <v>75.709999999999994</v>
      </c>
      <c r="Q2683" s="26"/>
      <c r="R2683" s="26">
        <v>78.42</v>
      </c>
      <c r="S2683" s="26">
        <v>81.150000000000006</v>
      </c>
      <c r="T2683" s="26">
        <v>77.569999999999993</v>
      </c>
      <c r="U2683" s="26">
        <v>80.239999999999995</v>
      </c>
      <c r="V2683" s="26"/>
      <c r="W2683" s="26">
        <v>84.08</v>
      </c>
    </row>
    <row r="2684" spans="1:23" x14ac:dyDescent="0.35">
      <c r="A2684" s="7">
        <v>46148</v>
      </c>
      <c r="P2684" s="26">
        <v>76.05</v>
      </c>
      <c r="Q2684" s="26"/>
      <c r="R2684" s="26">
        <v>78.650000000000006</v>
      </c>
      <c r="S2684" s="26">
        <v>81.28</v>
      </c>
      <c r="T2684" s="26">
        <v>77.81</v>
      </c>
      <c r="U2684" s="26">
        <v>80.430000000000007</v>
      </c>
      <c r="V2684" s="26"/>
      <c r="W2684" s="26">
        <v>84.15</v>
      </c>
    </row>
    <row r="2685" spans="1:23" x14ac:dyDescent="0.35">
      <c r="A2685" s="7">
        <v>46149</v>
      </c>
      <c r="P2685" s="26">
        <v>75.13</v>
      </c>
      <c r="Q2685" s="26"/>
      <c r="R2685" s="26">
        <v>77.680000000000007</v>
      </c>
      <c r="S2685" s="26">
        <v>80.260000000000005</v>
      </c>
      <c r="T2685" s="26">
        <v>76.87</v>
      </c>
      <c r="U2685" s="26">
        <v>79.430000000000007</v>
      </c>
      <c r="V2685" s="26"/>
      <c r="W2685" s="26">
        <v>83.12</v>
      </c>
    </row>
    <row r="2686" spans="1:23" x14ac:dyDescent="0.35">
      <c r="A2686" s="7">
        <v>46150</v>
      </c>
    </row>
    <row r="2687" spans="1:23" x14ac:dyDescent="0.35">
      <c r="A2687" s="7">
        <v>46151</v>
      </c>
    </row>
    <row r="2688" spans="1:23" x14ac:dyDescent="0.35">
      <c r="A2688" s="7">
        <v>46152</v>
      </c>
    </row>
    <row r="2689" spans="1:1" x14ac:dyDescent="0.35">
      <c r="A2689" s="7">
        <v>46153</v>
      </c>
    </row>
    <row r="2690" spans="1:1" x14ac:dyDescent="0.35">
      <c r="A2690" s="7">
        <v>46154</v>
      </c>
    </row>
    <row r="2691" spans="1:1" x14ac:dyDescent="0.35">
      <c r="A2691" s="7">
        <v>46155</v>
      </c>
    </row>
    <row r="2692" spans="1:1" x14ac:dyDescent="0.35">
      <c r="A2692" s="7">
        <v>46156</v>
      </c>
    </row>
    <row r="2693" spans="1:1" x14ac:dyDescent="0.35">
      <c r="A2693" s="7">
        <v>46157</v>
      </c>
    </row>
    <row r="2694" spans="1:1" x14ac:dyDescent="0.35">
      <c r="A2694" s="7">
        <v>46158</v>
      </c>
    </row>
    <row r="2695" spans="1:1" x14ac:dyDescent="0.35">
      <c r="A2695" s="7">
        <v>46159</v>
      </c>
    </row>
    <row r="2696" spans="1:1" x14ac:dyDescent="0.35">
      <c r="A2696" s="7">
        <v>46160</v>
      </c>
    </row>
    <row r="2697" spans="1:1" x14ac:dyDescent="0.35">
      <c r="A2697" s="7">
        <v>46161</v>
      </c>
    </row>
    <row r="2698" spans="1:1" x14ac:dyDescent="0.35">
      <c r="A2698" s="7">
        <v>46162</v>
      </c>
    </row>
    <row r="2699" spans="1:1" x14ac:dyDescent="0.35">
      <c r="A2699" s="7">
        <v>46163</v>
      </c>
    </row>
    <row r="2700" spans="1:1" x14ac:dyDescent="0.35">
      <c r="A2700" s="7">
        <v>46164</v>
      </c>
    </row>
    <row r="2701" spans="1:1" x14ac:dyDescent="0.35">
      <c r="A2701" s="7">
        <v>46165</v>
      </c>
    </row>
    <row r="2702" spans="1:1" x14ac:dyDescent="0.35">
      <c r="A2702" s="7">
        <v>46166</v>
      </c>
    </row>
    <row r="2703" spans="1:1" x14ac:dyDescent="0.35">
      <c r="A2703" s="7">
        <v>46167</v>
      </c>
    </row>
    <row r="2704" spans="1:1" x14ac:dyDescent="0.35">
      <c r="A2704" s="7">
        <v>46168</v>
      </c>
    </row>
    <row r="2705" spans="1:1" x14ac:dyDescent="0.35">
      <c r="A2705" s="7">
        <v>46169</v>
      </c>
    </row>
    <row r="2706" spans="1:1" x14ac:dyDescent="0.35">
      <c r="A2706" s="7">
        <v>46170</v>
      </c>
    </row>
    <row r="2707" spans="1:1" x14ac:dyDescent="0.35">
      <c r="A2707" s="7">
        <v>46171</v>
      </c>
    </row>
    <row r="2708" spans="1:1" x14ac:dyDescent="0.35">
      <c r="A2708" s="7">
        <v>46172</v>
      </c>
    </row>
    <row r="2709" spans="1:1" x14ac:dyDescent="0.35">
      <c r="A2709" s="7">
        <v>46173</v>
      </c>
    </row>
    <row r="2710" spans="1:1" x14ac:dyDescent="0.35">
      <c r="A2710" s="7">
        <v>46174</v>
      </c>
    </row>
    <row r="2711" spans="1:1" x14ac:dyDescent="0.35">
      <c r="A2711" s="7">
        <v>46175</v>
      </c>
    </row>
    <row r="2712" spans="1:1" x14ac:dyDescent="0.35">
      <c r="A2712" s="7">
        <v>46176</v>
      </c>
    </row>
    <row r="2713" spans="1:1" x14ac:dyDescent="0.35">
      <c r="A2713" s="7">
        <v>46177</v>
      </c>
    </row>
    <row r="2714" spans="1:1" x14ac:dyDescent="0.35">
      <c r="A2714" s="7">
        <v>46178</v>
      </c>
    </row>
    <row r="2715" spans="1:1" x14ac:dyDescent="0.35">
      <c r="A2715" s="7">
        <v>46179</v>
      </c>
    </row>
    <row r="2716" spans="1:1" x14ac:dyDescent="0.35">
      <c r="A2716" s="7">
        <v>46180</v>
      </c>
    </row>
    <row r="2717" spans="1:1" x14ac:dyDescent="0.35">
      <c r="A2717" s="7">
        <v>46181</v>
      </c>
    </row>
    <row r="2718" spans="1:1" x14ac:dyDescent="0.35">
      <c r="A2718" s="7">
        <v>46182</v>
      </c>
    </row>
    <row r="2719" spans="1:1" x14ac:dyDescent="0.35">
      <c r="A2719" s="7">
        <v>46183</v>
      </c>
    </row>
    <row r="2720" spans="1:1" x14ac:dyDescent="0.35">
      <c r="A2720" s="7">
        <v>46184</v>
      </c>
    </row>
    <row r="2721" spans="1:1" x14ac:dyDescent="0.35">
      <c r="A2721" s="7">
        <v>46185</v>
      </c>
    </row>
    <row r="2722" spans="1:1" x14ac:dyDescent="0.35">
      <c r="A2722" s="7">
        <v>46186</v>
      </c>
    </row>
    <row r="2723" spans="1:1" x14ac:dyDescent="0.35">
      <c r="A2723" s="7">
        <v>46187</v>
      </c>
    </row>
    <row r="2724" spans="1:1" x14ac:dyDescent="0.35">
      <c r="A2724" s="7">
        <v>46188</v>
      </c>
    </row>
    <row r="2725" spans="1:1" x14ac:dyDescent="0.35">
      <c r="A2725" s="7">
        <v>46189</v>
      </c>
    </row>
    <row r="2726" spans="1:1" x14ac:dyDescent="0.35">
      <c r="A2726" s="7">
        <v>46190</v>
      </c>
    </row>
    <row r="2727" spans="1:1" x14ac:dyDescent="0.35">
      <c r="A2727" s="7">
        <v>46191</v>
      </c>
    </row>
    <row r="2728" spans="1:1" x14ac:dyDescent="0.35">
      <c r="A2728" s="7">
        <v>46192</v>
      </c>
    </row>
    <row r="2729" spans="1:1" x14ac:dyDescent="0.35">
      <c r="A2729" s="7">
        <v>46193</v>
      </c>
    </row>
    <row r="2730" spans="1:1" x14ac:dyDescent="0.35">
      <c r="A2730" s="7">
        <v>46194</v>
      </c>
    </row>
    <row r="2731" spans="1:1" x14ac:dyDescent="0.35">
      <c r="A2731" s="7">
        <v>46195</v>
      </c>
    </row>
    <row r="2732" spans="1:1" x14ac:dyDescent="0.35">
      <c r="A2732" s="7">
        <v>46196</v>
      </c>
    </row>
    <row r="2733" spans="1:1" x14ac:dyDescent="0.35">
      <c r="A2733" s="7">
        <v>46197</v>
      </c>
    </row>
    <row r="2734" spans="1:1" x14ac:dyDescent="0.35">
      <c r="A2734" s="7">
        <v>46198</v>
      </c>
    </row>
    <row r="2735" spans="1:1" x14ac:dyDescent="0.35">
      <c r="A2735" s="7">
        <v>46199</v>
      </c>
    </row>
    <row r="2736" spans="1:1" x14ac:dyDescent="0.35">
      <c r="A2736" s="7">
        <v>46200</v>
      </c>
    </row>
    <row r="2737" spans="1:1" x14ac:dyDescent="0.35">
      <c r="A2737" s="7">
        <v>46201</v>
      </c>
    </row>
    <row r="2738" spans="1:1" x14ac:dyDescent="0.35">
      <c r="A2738" s="7">
        <v>46202</v>
      </c>
    </row>
    <row r="2739" spans="1:1" x14ac:dyDescent="0.35">
      <c r="A2739" s="7">
        <v>46203</v>
      </c>
    </row>
    <row r="2740" spans="1:1" x14ac:dyDescent="0.35">
      <c r="A2740" s="7">
        <v>46204</v>
      </c>
    </row>
    <row r="2741" spans="1:1" x14ac:dyDescent="0.35">
      <c r="A2741" s="7">
        <v>46205</v>
      </c>
    </row>
    <row r="2742" spans="1:1" x14ac:dyDescent="0.35">
      <c r="A2742" s="7">
        <v>46206</v>
      </c>
    </row>
    <row r="2743" spans="1:1" x14ac:dyDescent="0.35">
      <c r="A2743" s="7">
        <v>46207</v>
      </c>
    </row>
    <row r="2744" spans="1:1" x14ac:dyDescent="0.35">
      <c r="A2744" s="7">
        <v>46208</v>
      </c>
    </row>
    <row r="2745" spans="1:1" x14ac:dyDescent="0.35">
      <c r="A2745" s="7">
        <v>46209</v>
      </c>
    </row>
    <row r="2746" spans="1:1" x14ac:dyDescent="0.35">
      <c r="A2746" s="7">
        <v>46210</v>
      </c>
    </row>
    <row r="2747" spans="1:1" x14ac:dyDescent="0.35">
      <c r="A2747" s="7">
        <v>46211</v>
      </c>
    </row>
    <row r="2748" spans="1:1" x14ac:dyDescent="0.35">
      <c r="A2748" s="7">
        <v>46212</v>
      </c>
    </row>
    <row r="2749" spans="1:1" x14ac:dyDescent="0.35">
      <c r="A2749" s="7">
        <v>46213</v>
      </c>
    </row>
    <row r="2750" spans="1:1" x14ac:dyDescent="0.35">
      <c r="A2750" s="7">
        <v>46214</v>
      </c>
    </row>
    <row r="2751" spans="1:1" x14ac:dyDescent="0.35">
      <c r="A2751" s="7">
        <v>46215</v>
      </c>
    </row>
    <row r="2752" spans="1:1" x14ac:dyDescent="0.35">
      <c r="A2752" s="7">
        <v>46216</v>
      </c>
    </row>
    <row r="2753" spans="1:1" x14ac:dyDescent="0.35">
      <c r="A2753" s="7">
        <v>46217</v>
      </c>
    </row>
    <row r="2754" spans="1:1" x14ac:dyDescent="0.35">
      <c r="A2754" s="7">
        <v>46218</v>
      </c>
    </row>
    <row r="2755" spans="1:1" x14ac:dyDescent="0.35">
      <c r="A2755" s="7">
        <v>46219</v>
      </c>
    </row>
    <row r="2756" spans="1:1" x14ac:dyDescent="0.35">
      <c r="A2756" s="7">
        <v>46220</v>
      </c>
    </row>
    <row r="2757" spans="1:1" x14ac:dyDescent="0.35">
      <c r="A2757" s="7">
        <v>46221</v>
      </c>
    </row>
    <row r="2758" spans="1:1" x14ac:dyDescent="0.35">
      <c r="A2758" s="7">
        <v>46222</v>
      </c>
    </row>
    <row r="2759" spans="1:1" x14ac:dyDescent="0.35">
      <c r="A2759" s="7">
        <v>46223</v>
      </c>
    </row>
    <row r="2760" spans="1:1" x14ac:dyDescent="0.35">
      <c r="A2760" s="7">
        <v>46224</v>
      </c>
    </row>
    <row r="2761" spans="1:1" x14ac:dyDescent="0.35">
      <c r="A2761" s="7">
        <v>46225</v>
      </c>
    </row>
    <row r="2762" spans="1:1" x14ac:dyDescent="0.35">
      <c r="A2762" s="7">
        <v>46226</v>
      </c>
    </row>
    <row r="2763" spans="1:1" x14ac:dyDescent="0.35">
      <c r="A2763" s="7">
        <v>46227</v>
      </c>
    </row>
    <row r="2764" spans="1:1" x14ac:dyDescent="0.35">
      <c r="A2764" s="7">
        <v>46228</v>
      </c>
    </row>
    <row r="2765" spans="1:1" x14ac:dyDescent="0.35">
      <c r="A2765" s="7">
        <v>46229</v>
      </c>
    </row>
    <row r="2766" spans="1:1" x14ac:dyDescent="0.35">
      <c r="A2766" s="7">
        <v>46230</v>
      </c>
    </row>
    <row r="2767" spans="1:1" x14ac:dyDescent="0.35">
      <c r="A2767" s="7">
        <v>46231</v>
      </c>
    </row>
    <row r="2768" spans="1:1" x14ac:dyDescent="0.35">
      <c r="A2768" s="7">
        <v>46232</v>
      </c>
    </row>
    <row r="2769" spans="1:1" x14ac:dyDescent="0.35">
      <c r="A2769" s="7">
        <v>46233</v>
      </c>
    </row>
    <row r="2770" spans="1:1" x14ac:dyDescent="0.35">
      <c r="A2770" s="7">
        <v>46234</v>
      </c>
    </row>
    <row r="2771" spans="1:1" x14ac:dyDescent="0.35">
      <c r="A2771" s="7">
        <v>46235</v>
      </c>
    </row>
    <row r="2772" spans="1:1" x14ac:dyDescent="0.35">
      <c r="A2772" s="7">
        <v>46236</v>
      </c>
    </row>
    <row r="2773" spans="1:1" x14ac:dyDescent="0.35">
      <c r="A2773" s="7">
        <v>46237</v>
      </c>
    </row>
    <row r="2774" spans="1:1" x14ac:dyDescent="0.35">
      <c r="A2774" s="7">
        <v>46238</v>
      </c>
    </row>
    <row r="2775" spans="1:1" x14ac:dyDescent="0.35">
      <c r="A2775" s="7">
        <v>46239</v>
      </c>
    </row>
    <row r="2776" spans="1:1" x14ac:dyDescent="0.35">
      <c r="A2776" s="7">
        <v>46240</v>
      </c>
    </row>
    <row r="2777" spans="1:1" x14ac:dyDescent="0.35">
      <c r="A2777" s="7">
        <v>46241</v>
      </c>
    </row>
    <row r="2778" spans="1:1" x14ac:dyDescent="0.35">
      <c r="A2778" s="7">
        <v>46242</v>
      </c>
    </row>
    <row r="2779" spans="1:1" x14ac:dyDescent="0.35">
      <c r="A2779" s="7">
        <v>46243</v>
      </c>
    </row>
    <row r="2780" spans="1:1" x14ac:dyDescent="0.35">
      <c r="A2780" s="7">
        <v>46244</v>
      </c>
    </row>
    <row r="2781" spans="1:1" x14ac:dyDescent="0.35">
      <c r="A2781" s="7">
        <v>46245</v>
      </c>
    </row>
    <row r="2782" spans="1:1" x14ac:dyDescent="0.35">
      <c r="A2782" s="7">
        <v>46246</v>
      </c>
    </row>
    <row r="2783" spans="1:1" x14ac:dyDescent="0.35">
      <c r="A2783" s="7">
        <v>46247</v>
      </c>
    </row>
    <row r="2784" spans="1:1" x14ac:dyDescent="0.35">
      <c r="A2784" s="7">
        <v>46248</v>
      </c>
    </row>
    <row r="2785" spans="1:1" x14ac:dyDescent="0.35">
      <c r="A2785" s="7">
        <v>46249</v>
      </c>
    </row>
    <row r="2786" spans="1:1" x14ac:dyDescent="0.35">
      <c r="A2786" s="7">
        <v>46250</v>
      </c>
    </row>
    <row r="2787" spans="1:1" x14ac:dyDescent="0.35">
      <c r="A2787" s="7">
        <v>46251</v>
      </c>
    </row>
    <row r="2788" spans="1:1" x14ac:dyDescent="0.35">
      <c r="A2788" s="7">
        <v>46252</v>
      </c>
    </row>
    <row r="2789" spans="1:1" x14ac:dyDescent="0.35">
      <c r="A2789" s="7">
        <v>46253</v>
      </c>
    </row>
    <row r="2790" spans="1:1" x14ac:dyDescent="0.35">
      <c r="A2790" s="7">
        <v>46254</v>
      </c>
    </row>
    <row r="2791" spans="1:1" x14ac:dyDescent="0.35">
      <c r="A2791" s="7">
        <v>46255</v>
      </c>
    </row>
    <row r="2792" spans="1:1" x14ac:dyDescent="0.35">
      <c r="A2792" s="7">
        <v>46256</v>
      </c>
    </row>
    <row r="2793" spans="1:1" x14ac:dyDescent="0.35">
      <c r="A2793" s="7">
        <v>46257</v>
      </c>
    </row>
    <row r="2794" spans="1:1" x14ac:dyDescent="0.35">
      <c r="A2794" s="7">
        <v>46258</v>
      </c>
    </row>
    <row r="2795" spans="1:1" x14ac:dyDescent="0.35">
      <c r="A2795" s="7">
        <v>46259</v>
      </c>
    </row>
    <row r="2796" spans="1:1" x14ac:dyDescent="0.35">
      <c r="A2796" s="7">
        <v>46260</v>
      </c>
    </row>
    <row r="2797" spans="1:1" x14ac:dyDescent="0.35">
      <c r="A2797" s="7">
        <v>46261</v>
      </c>
    </row>
    <row r="2798" spans="1:1" x14ac:dyDescent="0.35">
      <c r="A2798" s="7">
        <v>46262</v>
      </c>
    </row>
    <row r="2799" spans="1:1" x14ac:dyDescent="0.35">
      <c r="A2799" s="7">
        <v>46263</v>
      </c>
    </row>
    <row r="2800" spans="1:1" x14ac:dyDescent="0.35">
      <c r="A2800" s="7">
        <v>46264</v>
      </c>
    </row>
    <row r="2801" spans="1:1" x14ac:dyDescent="0.35">
      <c r="A2801" s="7">
        <v>46265</v>
      </c>
    </row>
    <row r="2802" spans="1:1" x14ac:dyDescent="0.35">
      <c r="A2802" s="7">
        <v>46266</v>
      </c>
    </row>
    <row r="2803" spans="1:1" x14ac:dyDescent="0.35">
      <c r="A2803" s="7">
        <v>46267</v>
      </c>
    </row>
    <row r="2804" spans="1:1" x14ac:dyDescent="0.35">
      <c r="A2804" s="7">
        <v>46268</v>
      </c>
    </row>
    <row r="2805" spans="1:1" x14ac:dyDescent="0.35">
      <c r="A2805" s="7">
        <v>46269</v>
      </c>
    </row>
    <row r="2806" spans="1:1" x14ac:dyDescent="0.35">
      <c r="A2806" s="7">
        <v>46270</v>
      </c>
    </row>
    <row r="2807" spans="1:1" x14ac:dyDescent="0.35">
      <c r="A2807" s="7">
        <v>46271</v>
      </c>
    </row>
    <row r="2808" spans="1:1" x14ac:dyDescent="0.35">
      <c r="A2808" s="7">
        <v>46272</v>
      </c>
    </row>
    <row r="2809" spans="1:1" x14ac:dyDescent="0.35">
      <c r="A2809" s="7">
        <v>46273</v>
      </c>
    </row>
    <row r="2810" spans="1:1" x14ac:dyDescent="0.35">
      <c r="A2810" s="7">
        <v>46274</v>
      </c>
    </row>
    <row r="2811" spans="1:1" x14ac:dyDescent="0.35">
      <c r="A2811" s="7">
        <v>46275</v>
      </c>
    </row>
    <row r="2812" spans="1:1" x14ac:dyDescent="0.35">
      <c r="A2812" s="7">
        <v>46276</v>
      </c>
    </row>
    <row r="2813" spans="1:1" x14ac:dyDescent="0.35">
      <c r="A2813" s="7">
        <v>46277</v>
      </c>
    </row>
    <row r="2814" spans="1:1" x14ac:dyDescent="0.35">
      <c r="A2814" s="7">
        <v>46278</v>
      </c>
    </row>
    <row r="2815" spans="1:1" x14ac:dyDescent="0.35">
      <c r="A2815" s="7">
        <v>46279</v>
      </c>
    </row>
    <row r="2816" spans="1:1" x14ac:dyDescent="0.35">
      <c r="A2816" s="7">
        <v>46280</v>
      </c>
    </row>
    <row r="2817" spans="1:1" x14ac:dyDescent="0.35">
      <c r="A2817" s="7">
        <v>46281</v>
      </c>
    </row>
    <row r="2818" spans="1:1" x14ac:dyDescent="0.35">
      <c r="A2818" s="7">
        <v>46282</v>
      </c>
    </row>
    <row r="2819" spans="1:1" x14ac:dyDescent="0.35">
      <c r="A2819" s="7">
        <v>46283</v>
      </c>
    </row>
    <row r="2820" spans="1:1" x14ac:dyDescent="0.35">
      <c r="A2820" s="7">
        <v>46284</v>
      </c>
    </row>
    <row r="2821" spans="1:1" x14ac:dyDescent="0.35">
      <c r="A2821" s="7">
        <v>46285</v>
      </c>
    </row>
    <row r="2822" spans="1:1" x14ac:dyDescent="0.35">
      <c r="A2822" s="7">
        <v>46286</v>
      </c>
    </row>
    <row r="2823" spans="1:1" x14ac:dyDescent="0.35">
      <c r="A2823" s="7">
        <v>46287</v>
      </c>
    </row>
    <row r="2824" spans="1:1" x14ac:dyDescent="0.35">
      <c r="A2824" s="7">
        <v>46288</v>
      </c>
    </row>
    <row r="2825" spans="1:1" x14ac:dyDescent="0.35">
      <c r="A2825" s="7">
        <v>46289</v>
      </c>
    </row>
    <row r="2826" spans="1:1" x14ac:dyDescent="0.35">
      <c r="A2826" s="7">
        <v>46290</v>
      </c>
    </row>
    <row r="2827" spans="1:1" x14ac:dyDescent="0.35">
      <c r="A2827" s="7">
        <v>46291</v>
      </c>
    </row>
    <row r="2828" spans="1:1" x14ac:dyDescent="0.35">
      <c r="A2828" s="7">
        <v>46292</v>
      </c>
    </row>
    <row r="2829" spans="1:1" x14ac:dyDescent="0.35">
      <c r="A2829" s="7">
        <v>46293</v>
      </c>
    </row>
    <row r="2830" spans="1:1" x14ac:dyDescent="0.35">
      <c r="A2830" s="7">
        <v>46294</v>
      </c>
    </row>
    <row r="2831" spans="1:1" x14ac:dyDescent="0.35">
      <c r="A2831" s="7">
        <v>46295</v>
      </c>
    </row>
    <row r="2832" spans="1:1" x14ac:dyDescent="0.35">
      <c r="A2832" s="7">
        <v>46296</v>
      </c>
    </row>
    <row r="2833" spans="1:1" x14ac:dyDescent="0.35">
      <c r="A2833" s="7">
        <v>46297</v>
      </c>
    </row>
    <row r="2834" spans="1:1" x14ac:dyDescent="0.35">
      <c r="A2834" s="7">
        <v>46298</v>
      </c>
    </row>
    <row r="2835" spans="1:1" x14ac:dyDescent="0.35">
      <c r="A2835" s="7">
        <v>46299</v>
      </c>
    </row>
    <row r="2836" spans="1:1" x14ac:dyDescent="0.35">
      <c r="A2836" s="7">
        <v>46300</v>
      </c>
    </row>
    <row r="2837" spans="1:1" x14ac:dyDescent="0.35">
      <c r="A2837" s="7">
        <v>46301</v>
      </c>
    </row>
    <row r="2838" spans="1:1" x14ac:dyDescent="0.35">
      <c r="A2838" s="7">
        <v>46302</v>
      </c>
    </row>
    <row r="2839" spans="1:1" x14ac:dyDescent="0.35">
      <c r="A2839" s="7">
        <v>46303</v>
      </c>
    </row>
    <row r="2840" spans="1:1" x14ac:dyDescent="0.35">
      <c r="A2840" s="7">
        <v>46304</v>
      </c>
    </row>
    <row r="2841" spans="1:1" x14ac:dyDescent="0.35">
      <c r="A2841" s="7">
        <v>46305</v>
      </c>
    </row>
    <row r="2842" spans="1:1" x14ac:dyDescent="0.35">
      <c r="A2842" s="7">
        <v>46306</v>
      </c>
    </row>
    <row r="2843" spans="1:1" x14ac:dyDescent="0.35">
      <c r="A2843" s="7">
        <v>46307</v>
      </c>
    </row>
    <row r="2844" spans="1:1" x14ac:dyDescent="0.35">
      <c r="A2844" s="7">
        <v>46308</v>
      </c>
    </row>
    <row r="2845" spans="1:1" x14ac:dyDescent="0.35">
      <c r="A2845" s="7">
        <v>46309</v>
      </c>
    </row>
    <row r="2846" spans="1:1" x14ac:dyDescent="0.35">
      <c r="A2846" s="7">
        <v>46310</v>
      </c>
    </row>
    <row r="2847" spans="1:1" x14ac:dyDescent="0.35">
      <c r="A2847" s="7">
        <v>46311</v>
      </c>
    </row>
    <row r="2848" spans="1:1" x14ac:dyDescent="0.35">
      <c r="A2848" s="7">
        <v>46312</v>
      </c>
    </row>
    <row r="2849" spans="1:1" x14ac:dyDescent="0.35">
      <c r="A2849" s="7">
        <v>46313</v>
      </c>
    </row>
    <row r="2850" spans="1:1" x14ac:dyDescent="0.35">
      <c r="A2850" s="7">
        <v>46314</v>
      </c>
    </row>
    <row r="2851" spans="1:1" x14ac:dyDescent="0.35">
      <c r="A2851" s="7">
        <v>46315</v>
      </c>
    </row>
    <row r="2852" spans="1:1" x14ac:dyDescent="0.35">
      <c r="A2852" s="7">
        <v>46316</v>
      </c>
    </row>
    <row r="2853" spans="1:1" x14ac:dyDescent="0.35">
      <c r="A2853" s="7">
        <v>46317</v>
      </c>
    </row>
    <row r="2854" spans="1:1" x14ac:dyDescent="0.35">
      <c r="A2854" s="7">
        <v>46318</v>
      </c>
    </row>
    <row r="2855" spans="1:1" x14ac:dyDescent="0.35">
      <c r="A2855" s="7">
        <v>46319</v>
      </c>
    </row>
    <row r="2856" spans="1:1" x14ac:dyDescent="0.35">
      <c r="A2856" s="7">
        <v>46320</v>
      </c>
    </row>
    <row r="2857" spans="1:1" x14ac:dyDescent="0.35">
      <c r="A2857" s="7">
        <v>46321</v>
      </c>
    </row>
    <row r="2858" spans="1:1" x14ac:dyDescent="0.35">
      <c r="A2858" s="7">
        <v>46322</v>
      </c>
    </row>
    <row r="2859" spans="1:1" x14ac:dyDescent="0.35">
      <c r="A2859" s="7">
        <v>46323</v>
      </c>
    </row>
    <row r="2860" spans="1:1" x14ac:dyDescent="0.35">
      <c r="A2860" s="7">
        <v>46324</v>
      </c>
    </row>
    <row r="2861" spans="1:1" x14ac:dyDescent="0.35">
      <c r="A2861" s="7">
        <v>46325</v>
      </c>
    </row>
    <row r="2862" spans="1:1" x14ac:dyDescent="0.35">
      <c r="A2862" s="7">
        <v>46326</v>
      </c>
    </row>
    <row r="2863" spans="1:1" x14ac:dyDescent="0.35">
      <c r="A2863" s="7">
        <v>46327</v>
      </c>
    </row>
    <row r="2864" spans="1:1" x14ac:dyDescent="0.35">
      <c r="A2864" s="7">
        <v>46328</v>
      </c>
    </row>
    <row r="2865" spans="1:1" x14ac:dyDescent="0.35">
      <c r="A2865" s="7">
        <v>46329</v>
      </c>
    </row>
    <row r="2866" spans="1:1" x14ac:dyDescent="0.35">
      <c r="A2866" s="7">
        <v>46330</v>
      </c>
    </row>
    <row r="2867" spans="1:1" x14ac:dyDescent="0.35">
      <c r="A2867" s="7">
        <v>46331</v>
      </c>
    </row>
    <row r="2868" spans="1:1" x14ac:dyDescent="0.35">
      <c r="A2868" s="7">
        <v>46332</v>
      </c>
    </row>
    <row r="2869" spans="1:1" x14ac:dyDescent="0.35">
      <c r="A2869" s="7">
        <v>46333</v>
      </c>
    </row>
    <row r="2870" spans="1:1" x14ac:dyDescent="0.35">
      <c r="A2870" s="7">
        <v>46334</v>
      </c>
    </row>
    <row r="2871" spans="1:1" x14ac:dyDescent="0.35">
      <c r="A2871" s="7">
        <v>46335</v>
      </c>
    </row>
    <row r="2872" spans="1:1" x14ac:dyDescent="0.35">
      <c r="A2872" s="7">
        <v>46336</v>
      </c>
    </row>
    <row r="2873" spans="1:1" x14ac:dyDescent="0.35">
      <c r="A2873" s="7">
        <v>46337</v>
      </c>
    </row>
    <row r="2874" spans="1:1" x14ac:dyDescent="0.35">
      <c r="A2874" s="7">
        <v>46338</v>
      </c>
    </row>
    <row r="2875" spans="1:1" x14ac:dyDescent="0.35">
      <c r="A2875" s="7">
        <v>46339</v>
      </c>
    </row>
    <row r="2876" spans="1:1" x14ac:dyDescent="0.35">
      <c r="A2876" s="7">
        <v>46340</v>
      </c>
    </row>
    <row r="2877" spans="1:1" x14ac:dyDescent="0.35">
      <c r="A2877" s="7">
        <v>46341</v>
      </c>
    </row>
    <row r="2878" spans="1:1" x14ac:dyDescent="0.35">
      <c r="A2878" s="7">
        <v>46342</v>
      </c>
    </row>
    <row r="2879" spans="1:1" x14ac:dyDescent="0.35">
      <c r="A2879" s="7">
        <v>46343</v>
      </c>
    </row>
    <row r="2880" spans="1:1" x14ac:dyDescent="0.35">
      <c r="A2880" s="7">
        <v>46344</v>
      </c>
    </row>
    <row r="2881" spans="1:1" x14ac:dyDescent="0.35">
      <c r="A2881" s="7">
        <v>46345</v>
      </c>
    </row>
    <row r="2882" spans="1:1" x14ac:dyDescent="0.35">
      <c r="A2882" s="7">
        <v>46346</v>
      </c>
    </row>
    <row r="2883" spans="1:1" x14ac:dyDescent="0.35">
      <c r="A2883" s="7">
        <v>46347</v>
      </c>
    </row>
    <row r="2884" spans="1:1" x14ac:dyDescent="0.35">
      <c r="A2884" s="7">
        <v>46348</v>
      </c>
    </row>
    <row r="2885" spans="1:1" x14ac:dyDescent="0.35">
      <c r="A2885" s="7">
        <v>46349</v>
      </c>
    </row>
    <row r="2886" spans="1:1" x14ac:dyDescent="0.35">
      <c r="A2886" s="7">
        <v>46350</v>
      </c>
    </row>
    <row r="2887" spans="1:1" x14ac:dyDescent="0.35">
      <c r="A2887" s="7">
        <v>46351</v>
      </c>
    </row>
    <row r="2888" spans="1:1" x14ac:dyDescent="0.35">
      <c r="A2888" s="7">
        <v>46352</v>
      </c>
    </row>
    <row r="2889" spans="1:1" x14ac:dyDescent="0.35">
      <c r="A2889" s="7">
        <v>46353</v>
      </c>
    </row>
    <row r="2890" spans="1:1" x14ac:dyDescent="0.35">
      <c r="A2890" s="7">
        <v>46354</v>
      </c>
    </row>
    <row r="2891" spans="1:1" x14ac:dyDescent="0.35">
      <c r="A2891" s="7">
        <v>46355</v>
      </c>
    </row>
    <row r="2892" spans="1:1" x14ac:dyDescent="0.35">
      <c r="A2892" s="7">
        <v>46356</v>
      </c>
    </row>
    <row r="2893" spans="1:1" x14ac:dyDescent="0.35">
      <c r="A2893" s="7">
        <v>46357</v>
      </c>
    </row>
    <row r="2894" spans="1:1" x14ac:dyDescent="0.35">
      <c r="A2894" s="7">
        <v>46358</v>
      </c>
    </row>
    <row r="2895" spans="1:1" x14ac:dyDescent="0.35">
      <c r="A2895" s="7">
        <v>46359</v>
      </c>
    </row>
    <row r="2896" spans="1:1" x14ac:dyDescent="0.35">
      <c r="A2896" s="7">
        <v>46360</v>
      </c>
    </row>
    <row r="2897" spans="1:1" x14ac:dyDescent="0.35">
      <c r="A2897" s="7">
        <v>46361</v>
      </c>
    </row>
    <row r="2898" spans="1:1" x14ac:dyDescent="0.35">
      <c r="A2898" s="7">
        <v>46362</v>
      </c>
    </row>
    <row r="2899" spans="1:1" x14ac:dyDescent="0.35">
      <c r="A2899" s="7">
        <v>46363</v>
      </c>
    </row>
    <row r="2900" spans="1:1" x14ac:dyDescent="0.35">
      <c r="A2900" s="7">
        <v>46364</v>
      </c>
    </row>
    <row r="2901" spans="1:1" x14ac:dyDescent="0.35">
      <c r="A2901" s="7">
        <v>46365</v>
      </c>
    </row>
    <row r="2902" spans="1:1" x14ac:dyDescent="0.35">
      <c r="A2902" s="7">
        <v>46366</v>
      </c>
    </row>
    <row r="2903" spans="1:1" x14ac:dyDescent="0.35">
      <c r="A2903" s="7">
        <v>46367</v>
      </c>
    </row>
    <row r="2904" spans="1:1" x14ac:dyDescent="0.35">
      <c r="A2904" s="7">
        <v>46368</v>
      </c>
    </row>
    <row r="2905" spans="1:1" x14ac:dyDescent="0.35">
      <c r="A2905" s="7">
        <v>46369</v>
      </c>
    </row>
    <row r="2906" spans="1:1" x14ac:dyDescent="0.35">
      <c r="A2906" s="7">
        <v>46370</v>
      </c>
    </row>
    <row r="2907" spans="1:1" x14ac:dyDescent="0.35">
      <c r="A2907" s="7">
        <v>46371</v>
      </c>
    </row>
    <row r="2908" spans="1:1" x14ac:dyDescent="0.35">
      <c r="A2908" s="7">
        <v>46372</v>
      </c>
    </row>
    <row r="2909" spans="1:1" x14ac:dyDescent="0.35">
      <c r="A2909" s="7">
        <v>46373</v>
      </c>
    </row>
    <row r="2910" spans="1:1" x14ac:dyDescent="0.35">
      <c r="A2910" s="7">
        <v>46374</v>
      </c>
    </row>
    <row r="2911" spans="1:1" x14ac:dyDescent="0.35">
      <c r="A2911" s="7">
        <v>46375</v>
      </c>
    </row>
    <row r="2912" spans="1:1" x14ac:dyDescent="0.35">
      <c r="A2912" s="7">
        <v>46376</v>
      </c>
    </row>
    <row r="2913" spans="1:1" x14ac:dyDescent="0.35">
      <c r="A2913" s="7">
        <v>46377</v>
      </c>
    </row>
    <row r="2914" spans="1:1" x14ac:dyDescent="0.35">
      <c r="A2914" s="7">
        <v>46378</v>
      </c>
    </row>
    <row r="2915" spans="1:1" x14ac:dyDescent="0.35">
      <c r="A2915" s="7">
        <v>46379</v>
      </c>
    </row>
    <row r="2916" spans="1:1" x14ac:dyDescent="0.35">
      <c r="A2916" s="7">
        <v>46380</v>
      </c>
    </row>
    <row r="2917" spans="1:1" x14ac:dyDescent="0.35">
      <c r="A2917" s="7">
        <v>46381</v>
      </c>
    </row>
    <row r="2918" spans="1:1" x14ac:dyDescent="0.35">
      <c r="A2918" s="7">
        <v>46382</v>
      </c>
    </row>
    <row r="2919" spans="1:1" x14ac:dyDescent="0.35">
      <c r="A2919" s="7">
        <v>46383</v>
      </c>
    </row>
    <row r="2920" spans="1:1" x14ac:dyDescent="0.35">
      <c r="A2920" s="7">
        <v>46384</v>
      </c>
    </row>
    <row r="2921" spans="1:1" x14ac:dyDescent="0.35">
      <c r="A2921" s="7">
        <v>46385</v>
      </c>
    </row>
    <row r="2922" spans="1:1" x14ac:dyDescent="0.35">
      <c r="A2922" s="7">
        <v>46386</v>
      </c>
    </row>
    <row r="2923" spans="1:1" x14ac:dyDescent="0.35">
      <c r="A2923" s="7">
        <v>46387</v>
      </c>
    </row>
  </sheetData>
  <conditionalFormatting sqref="A1:A1048576">
    <cfRule type="expression" dxfId="0" priority="1">
      <formula>IF(A1=TODAY()-1,1,0)</formula>
    </cfRule>
  </conditionalFormatting>
  <pageMargins left="0.7" right="0.7" top="0.75" bottom="0.75" header="0.3" footer="0.3"/>
  <pageSetup paperSize="9" orientation="portrait" r:id="rId1"/>
  <headerFooter>
    <oddHeader>&amp;L&amp;"Arial"&amp;9&amp;K000000Informacja wewnętrzna&amp;1#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aktualne 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Łuczak Radosław (TW)</dc:creator>
  <cp:lastModifiedBy>Łuczak Radosław (TW)</cp:lastModifiedBy>
  <dcterms:created xsi:type="dcterms:W3CDTF">2026-05-08T11:25:35Z</dcterms:created>
  <dcterms:modified xsi:type="dcterms:W3CDTF">2026-05-08T11:27:06Z</dcterms:modified>
</cp:coreProperties>
</file>